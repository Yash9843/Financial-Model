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llen\Google Drive\Mentor Me\Academics\Content\Financial Modeling\Financial Modeling  Content\Part -2\Valuation Concepts\Valuation Essentials\"/>
    </mc:Choice>
  </mc:AlternateContent>
  <xr:revisionPtr revIDLastSave="0" documentId="13_ncr:1_{2528D07D-47C2-4BD8-BD00-EEAEB3E774AC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Basic Concepts" sheetId="1" r:id="rId1"/>
    <sheet name="Types of Valuation" sheetId="2" r:id="rId2"/>
    <sheet name="Chart1" sheetId="4" r:id="rId3"/>
    <sheet name="PV Valuation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" l="1"/>
  <c r="F30" i="3" s="1"/>
  <c r="G30" i="3" s="1"/>
  <c r="D30" i="3"/>
  <c r="C30" i="3"/>
  <c r="B22" i="3"/>
  <c r="B26" i="3"/>
  <c r="B25" i="3"/>
  <c r="D19" i="3"/>
  <c r="E19" i="3" s="1"/>
  <c r="F19" i="3" s="1"/>
  <c r="G19" i="3" s="1"/>
  <c r="C19" i="3"/>
  <c r="B15" i="3"/>
  <c r="B14" i="3"/>
  <c r="B40" i="1"/>
  <c r="B42" i="1"/>
  <c r="D42" i="1"/>
  <c r="C42" i="1"/>
  <c r="G36" i="1"/>
  <c r="G25" i="1" s="1"/>
  <c r="F35" i="1"/>
  <c r="F34" i="1"/>
  <c r="F33" i="1"/>
  <c r="F32" i="1"/>
  <c r="F31" i="1"/>
  <c r="F30" i="1"/>
  <c r="F29" i="1"/>
  <c r="F28" i="1"/>
  <c r="F27" i="1"/>
  <c r="F26" i="1"/>
  <c r="E35" i="1"/>
  <c r="E34" i="1"/>
  <c r="E33" i="1"/>
  <c r="E32" i="1"/>
  <c r="E31" i="1"/>
  <c r="E30" i="1"/>
  <c r="E29" i="1"/>
  <c r="E28" i="1"/>
  <c r="E27" i="1"/>
  <c r="E26" i="1"/>
  <c r="E25" i="1"/>
  <c r="D27" i="1"/>
  <c r="D28" i="1" s="1"/>
  <c r="D29" i="1" s="1"/>
  <c r="D30" i="1" s="1"/>
  <c r="D31" i="1" s="1"/>
  <c r="D32" i="1" s="1"/>
  <c r="D33" i="1" s="1"/>
  <c r="D34" i="1" s="1"/>
  <c r="D35" i="1" s="1"/>
  <c r="D26" i="1"/>
  <c r="D25" i="1"/>
  <c r="K4" i="3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D29" i="3"/>
  <c r="E29" i="3" s="1"/>
  <c r="F29" i="3" s="1"/>
  <c r="G29" i="3" s="1"/>
  <c r="D18" i="3"/>
  <c r="E18" i="3" s="1"/>
  <c r="F18" i="3" s="1"/>
  <c r="G18" i="3" s="1"/>
  <c r="D10" i="3"/>
  <c r="E10" i="3" s="1"/>
  <c r="F10" i="3" s="1"/>
  <c r="G10" i="3" s="1"/>
  <c r="A18" i="2"/>
  <c r="C40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24" i="3" l="1"/>
  <c r="G35" i="1"/>
  <c r="H25" i="1" s="1"/>
  <c r="I25" i="1" s="1"/>
  <c r="K106" i="3"/>
  <c r="K107" i="3" l="1"/>
  <c r="K108" i="3" l="1"/>
  <c r="K109" i="3" l="1"/>
  <c r="K110" i="3" l="1"/>
  <c r="K111" i="3" l="1"/>
  <c r="K112" i="3" l="1"/>
  <c r="K113" i="3" l="1"/>
  <c r="K114" i="3" l="1"/>
  <c r="K115" i="3" l="1"/>
  <c r="K116" i="3" l="1"/>
  <c r="K117" i="3" l="1"/>
  <c r="K118" i="3" l="1"/>
  <c r="K119" i="3" l="1"/>
  <c r="K120" i="3" l="1"/>
  <c r="K121" i="3" l="1"/>
  <c r="K122" i="3" l="1"/>
  <c r="K123" i="3" l="1"/>
  <c r="K124" i="3" l="1"/>
  <c r="K125" i="3" l="1"/>
  <c r="K126" i="3" l="1"/>
  <c r="K127" i="3" l="1"/>
  <c r="K128" i="3" l="1"/>
  <c r="K129" i="3" l="1"/>
  <c r="K130" i="3" l="1"/>
  <c r="K131" i="3" l="1"/>
  <c r="K132" i="3" l="1"/>
  <c r="K133" i="3" l="1"/>
  <c r="K134" i="3" l="1"/>
  <c r="K135" i="3" l="1"/>
  <c r="K136" i="3" l="1"/>
  <c r="K137" i="3" l="1"/>
  <c r="K138" i="3" l="1"/>
  <c r="K139" i="3" l="1"/>
  <c r="K140" i="3" l="1"/>
  <c r="K141" i="3" l="1"/>
  <c r="K142" i="3" l="1"/>
  <c r="K143" i="3" l="1"/>
  <c r="K144" i="3" l="1"/>
  <c r="K145" i="3" l="1"/>
  <c r="K146" i="3" l="1"/>
  <c r="K147" i="3" l="1"/>
  <c r="K148" i="3" l="1"/>
  <c r="K149" i="3" l="1"/>
  <c r="K150" i="3" l="1"/>
  <c r="K151" i="3" l="1"/>
  <c r="K152" i="3" l="1"/>
  <c r="K153" i="3" l="1"/>
  <c r="K154" i="3" l="1"/>
  <c r="K155" i="3" l="1"/>
  <c r="K156" i="3" l="1"/>
  <c r="K157" i="3" l="1"/>
  <c r="K158" i="3" l="1"/>
  <c r="K159" i="3" l="1"/>
  <c r="K160" i="3" l="1"/>
  <c r="K161" i="3" l="1"/>
  <c r="K162" i="3" l="1"/>
  <c r="K163" i="3" l="1"/>
  <c r="K164" i="3" l="1"/>
  <c r="K165" i="3" l="1"/>
  <c r="K166" i="3" l="1"/>
  <c r="K167" i="3" l="1"/>
  <c r="K168" i="3" l="1"/>
  <c r="K169" i="3" l="1"/>
  <c r="K170" i="3" l="1"/>
  <c r="K171" i="3" l="1"/>
  <c r="K172" i="3" l="1"/>
  <c r="K173" i="3" l="1"/>
  <c r="K174" i="3" l="1"/>
  <c r="K175" i="3" l="1"/>
  <c r="K176" i="3" l="1"/>
  <c r="K177" i="3" l="1"/>
  <c r="K178" i="3" l="1"/>
  <c r="K179" i="3" l="1"/>
  <c r="K180" i="3" l="1"/>
  <c r="K181" i="3" l="1"/>
  <c r="K182" i="3" l="1"/>
  <c r="K183" i="3" l="1"/>
  <c r="K184" i="3" l="1"/>
  <c r="K185" i="3" l="1"/>
  <c r="K186" i="3" l="1"/>
  <c r="K187" i="3" l="1"/>
</calcChain>
</file>

<file path=xl/sharedStrings.xml><?xml version="1.0" encoding="utf-8"?>
<sst xmlns="http://schemas.openxmlformats.org/spreadsheetml/2006/main" count="114" uniqueCount="90">
  <si>
    <t>Infosys Stock</t>
  </si>
  <si>
    <t>Market Price</t>
  </si>
  <si>
    <t>Intrinsic Value</t>
  </si>
  <si>
    <t>Value</t>
  </si>
  <si>
    <t>Overvalued</t>
  </si>
  <si>
    <t>Undervalued</t>
  </si>
  <si>
    <t>Fairly Valued</t>
  </si>
  <si>
    <t>Factors Effecting</t>
  </si>
  <si>
    <t>Assumptions</t>
  </si>
  <si>
    <t>Ke| Beta| Terminal Growth Rate</t>
  </si>
  <si>
    <t>Recession| BOOM</t>
  </si>
  <si>
    <t>InvestingProcess</t>
  </si>
  <si>
    <t>Country Growth &gt; Sector &gt; Companines &gt; Company</t>
  </si>
  <si>
    <t>Top Down Approach</t>
  </si>
  <si>
    <t>Company&gt; Companies&gt; Sector&gt; Country</t>
  </si>
  <si>
    <t>Bottom Up Approach</t>
  </si>
  <si>
    <t xml:space="preserve">Valuation </t>
  </si>
  <si>
    <t>Compare Vs Calculate</t>
  </si>
  <si>
    <t>Area</t>
  </si>
  <si>
    <t>Rent</t>
  </si>
  <si>
    <t>Year</t>
  </si>
  <si>
    <t>WACC</t>
  </si>
  <si>
    <t>Esclation</t>
  </si>
  <si>
    <t>Rent/ Rev</t>
  </si>
  <si>
    <t>FCFF</t>
  </si>
  <si>
    <t>Ke</t>
  </si>
  <si>
    <t>FCFE</t>
  </si>
  <si>
    <t>PV</t>
  </si>
  <si>
    <t>Price- Market</t>
  </si>
  <si>
    <t>Rental</t>
  </si>
  <si>
    <t>2BHK- KP</t>
  </si>
  <si>
    <t>2BHK- Kalyani</t>
  </si>
  <si>
    <t>2BHK- Mg</t>
  </si>
  <si>
    <t>P/E</t>
  </si>
  <si>
    <t>Age</t>
  </si>
  <si>
    <t>Int Rate</t>
  </si>
  <si>
    <t>Sentiments</t>
  </si>
  <si>
    <t>Polices</t>
  </si>
  <si>
    <t>Government</t>
  </si>
  <si>
    <t>Valuation  Nuances</t>
  </si>
  <si>
    <t>Multiplier</t>
  </si>
  <si>
    <t>Present value Method</t>
  </si>
  <si>
    <t>PV models</t>
  </si>
  <si>
    <t>Dividends</t>
  </si>
  <si>
    <t>Multiplier Models</t>
  </si>
  <si>
    <t>Metric</t>
  </si>
  <si>
    <t>Types</t>
  </si>
  <si>
    <t>Single| Multiple</t>
  </si>
  <si>
    <t>Gordon Growth</t>
  </si>
  <si>
    <t>Terminal</t>
  </si>
  <si>
    <t>GGM</t>
  </si>
  <si>
    <t>P/B</t>
  </si>
  <si>
    <t>P/S</t>
  </si>
  <si>
    <t>P/CF</t>
  </si>
  <si>
    <t>EV/EBITDA</t>
  </si>
  <si>
    <t>Dividends Types</t>
  </si>
  <si>
    <t>Cash Dividend</t>
  </si>
  <si>
    <t>Extra Dividend</t>
  </si>
  <si>
    <t>Stock Dividend</t>
  </si>
  <si>
    <t>Share Repurchase</t>
  </si>
  <si>
    <t>Important Dates</t>
  </si>
  <si>
    <t>Decleration Date</t>
  </si>
  <si>
    <t>Ex Dividend Date</t>
  </si>
  <si>
    <t>Record Date</t>
  </si>
  <si>
    <t>Payment Date</t>
  </si>
  <si>
    <t>Trailing / Forward</t>
  </si>
  <si>
    <t>Book value of company</t>
  </si>
  <si>
    <t>Compare it to sales</t>
  </si>
  <si>
    <t>Compare to CF</t>
  </si>
  <si>
    <t>Used for Negative Earnings scenario</t>
  </si>
  <si>
    <t>Dividend</t>
  </si>
  <si>
    <t>Terminal Growth Rate</t>
  </si>
  <si>
    <t>DDM</t>
  </si>
  <si>
    <t xml:space="preserve">FCFE </t>
  </si>
  <si>
    <t>Growth Rate</t>
  </si>
  <si>
    <t>Value of Equity</t>
  </si>
  <si>
    <t>No of shares</t>
  </si>
  <si>
    <t>FCFE  Model</t>
  </si>
  <si>
    <t>FCFF  Model</t>
  </si>
  <si>
    <t>Value of Firm( Enterprise Value)</t>
  </si>
  <si>
    <t>Debt</t>
  </si>
  <si>
    <t>Minority Interest</t>
  </si>
  <si>
    <t xml:space="preserve"> Cash</t>
  </si>
  <si>
    <t>Equity Value</t>
  </si>
  <si>
    <t>Current stock price</t>
  </si>
  <si>
    <t>Next year dividend</t>
  </si>
  <si>
    <t>Constant Growth</t>
  </si>
  <si>
    <t>Value of Stock</t>
  </si>
  <si>
    <t xml:space="preserve"> </t>
  </si>
  <si>
    <t>Ratio=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</si>
</sst>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/>
    <xf numFmtId="9" fontId="0" fillId="3" borderId="0" xfId="0" applyNumberFormat="1" applyFill="1"/>
    <xf numFmtId="0" fontId="2" fillId="0" borderId="2" xfId="0" applyFont="1" applyBorder="1"/>
    <xf numFmtId="0" fontId="0" fillId="2" borderId="0" xfId="0" applyFill="1"/>
    <xf numFmtId="0" fontId="2" fillId="2" borderId="0" xfId="0" applyFont="1" applyFill="1"/>
    <xf numFmtId="0" fontId="0" fillId="0" borderId="1" xfId="0" applyBorder="1"/>
    <xf numFmtId="0" fontId="0" fillId="0" borderId="0" xfId="0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Font="1" applyBorder="1"/>
    <xf numFmtId="9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9" fontId="0" fillId="2" borderId="1" xfId="0" applyNumberFormat="1" applyFill="1" applyBorder="1"/>
    <xf numFmtId="1" fontId="0" fillId="0" borderId="0" xfId="0" applyNumberFormat="1"/>
    <xf numFmtId="2" fontId="0" fillId="0" borderId="0" xfId="0" applyNumberFormat="1"/>
    <xf numFmtId="10" fontId="0" fillId="0" borderId="1" xfId="0" applyNumberFormat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'PV Valuation'!$L$4:$L$187</c:f>
              <c:numCache>
                <c:formatCode>General</c:formatCode>
                <c:ptCount val="184"/>
              </c:numCache>
            </c:numRef>
          </c:val>
          <c:extLst>
            <c:ext xmlns:c16="http://schemas.microsoft.com/office/drawing/2014/chart" uri="{C3380CC4-5D6E-409C-BE32-E72D297353CC}">
              <c16:uniqueId val="{00000000-807A-4FBB-8CF6-741236549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363456"/>
        <c:axId val="1023370944"/>
      </c:barChart>
      <c:catAx>
        <c:axId val="1023363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70944"/>
        <c:crosses val="autoZero"/>
        <c:auto val="1"/>
        <c:lblAlgn val="ctr"/>
        <c:lblOffset val="100"/>
        <c:noMultiLvlLbl val="0"/>
      </c:catAx>
      <c:valAx>
        <c:axId val="102337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6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F918AC-2F23-4E20-9B63-295EEA984314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129989</xdr:colOff>
      <xdr:row>19</xdr:row>
      <xdr:rowOff>17929</xdr:rowOff>
    </xdr:from>
    <xdr:to>
      <xdr:col>4</xdr:col>
      <xdr:colOff>457201</xdr:colOff>
      <xdr:row>23</xdr:row>
      <xdr:rowOff>51694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584DA-07DA-4A75-AFC5-D7E1AC77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89" y="3558988"/>
          <a:ext cx="3348318" cy="7688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B53E3-A269-4A51-AC83-154D6E0953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showGridLines="0" zoomScale="160" zoomScaleNormal="160" workbookViewId="0">
      <selection activeCell="B44" sqref="B44"/>
    </sheetView>
  </sheetViews>
  <sheetFormatPr defaultRowHeight="14.4" x14ac:dyDescent="0.3"/>
  <cols>
    <col min="1" max="1" width="20.5546875" customWidth="1"/>
    <col min="2" max="2" width="18" customWidth="1"/>
    <col min="3" max="3" width="13.44140625" customWidth="1"/>
    <col min="4" max="4" width="15.21875" customWidth="1"/>
    <col min="9" max="9" width="11.6640625" bestFit="1" customWidth="1"/>
  </cols>
  <sheetData>
    <row r="1" spans="1:7" x14ac:dyDescent="0.3">
      <c r="A1" s="3" t="s">
        <v>39</v>
      </c>
    </row>
    <row r="2" spans="1:7" x14ac:dyDescent="0.3">
      <c r="A2" t="s">
        <v>0</v>
      </c>
    </row>
    <row r="3" spans="1:7" x14ac:dyDescent="0.3">
      <c r="A3" s="1" t="s">
        <v>1</v>
      </c>
      <c r="B3" s="1" t="s">
        <v>2</v>
      </c>
      <c r="C3" s="1" t="s">
        <v>3</v>
      </c>
      <c r="E3" s="1"/>
      <c r="G3" s="1"/>
    </row>
    <row r="4" spans="1:7" x14ac:dyDescent="0.3">
      <c r="A4" s="2">
        <v>1400</v>
      </c>
      <c r="B4" s="2">
        <v>500</v>
      </c>
      <c r="C4" s="2" t="s">
        <v>4</v>
      </c>
    </row>
    <row r="5" spans="1:7" x14ac:dyDescent="0.3">
      <c r="A5" s="2">
        <v>1400</v>
      </c>
      <c r="B5" s="2">
        <v>2500</v>
      </c>
      <c r="C5" s="2" t="s">
        <v>5</v>
      </c>
    </row>
    <row r="6" spans="1:7" x14ac:dyDescent="0.3">
      <c r="A6" s="2">
        <v>1400</v>
      </c>
      <c r="B6" s="2">
        <v>1400</v>
      </c>
      <c r="C6" s="2" t="s">
        <v>6</v>
      </c>
    </row>
    <row r="8" spans="1:7" x14ac:dyDescent="0.3">
      <c r="A8" s="3" t="s">
        <v>7</v>
      </c>
    </row>
    <row r="9" spans="1:7" x14ac:dyDescent="0.3">
      <c r="A9" s="12" t="s">
        <v>8</v>
      </c>
      <c r="B9" s="12" t="s">
        <v>9</v>
      </c>
      <c r="C9" s="12"/>
      <c r="D9" s="4"/>
      <c r="E9" s="4"/>
      <c r="F9" s="4"/>
    </row>
    <row r="10" spans="1:7" x14ac:dyDescent="0.3">
      <c r="A10" s="12" t="s">
        <v>36</v>
      </c>
      <c r="B10" s="12" t="s">
        <v>10</v>
      </c>
      <c r="C10" s="12"/>
    </row>
    <row r="11" spans="1:7" x14ac:dyDescent="0.3">
      <c r="A11" s="12" t="s">
        <v>37</v>
      </c>
      <c r="B11" s="12" t="s">
        <v>38</v>
      </c>
      <c r="C11" s="12"/>
    </row>
    <row r="12" spans="1:7" x14ac:dyDescent="0.3">
      <c r="A12" s="13"/>
      <c r="B12" s="13"/>
      <c r="C12" s="13"/>
    </row>
    <row r="13" spans="1:7" x14ac:dyDescent="0.3">
      <c r="A13" s="3" t="s">
        <v>11</v>
      </c>
    </row>
    <row r="14" spans="1:7" x14ac:dyDescent="0.3">
      <c r="A14" s="10" t="s">
        <v>12</v>
      </c>
      <c r="B14" s="10"/>
      <c r="C14" s="10"/>
      <c r="D14" s="10"/>
      <c r="E14" s="11" t="s">
        <v>13</v>
      </c>
      <c r="F14" s="10"/>
      <c r="G14" s="10"/>
    </row>
    <row r="15" spans="1:7" x14ac:dyDescent="0.3">
      <c r="A15" s="10" t="s">
        <v>14</v>
      </c>
      <c r="B15" s="10"/>
      <c r="C15" s="10"/>
      <c r="D15" s="10"/>
      <c r="E15" s="11" t="s">
        <v>15</v>
      </c>
      <c r="F15" s="10"/>
      <c r="G15" s="10"/>
    </row>
    <row r="17" spans="1:9" x14ac:dyDescent="0.3">
      <c r="A17" s="6" t="s">
        <v>16</v>
      </c>
      <c r="B17" s="6" t="s">
        <v>17</v>
      </c>
      <c r="C17" s="7"/>
    </row>
    <row r="18" spans="1:9" x14ac:dyDescent="0.3">
      <c r="A18" s="7" t="s">
        <v>18</v>
      </c>
      <c r="B18" s="7">
        <v>1200</v>
      </c>
      <c r="C18" s="7"/>
    </row>
    <row r="19" spans="1:9" x14ac:dyDescent="0.3">
      <c r="A19" s="7" t="s">
        <v>19</v>
      </c>
      <c r="B19" s="7">
        <v>480000</v>
      </c>
      <c r="C19" s="7"/>
    </row>
    <row r="20" spans="1:9" x14ac:dyDescent="0.3">
      <c r="A20" s="7" t="s">
        <v>34</v>
      </c>
      <c r="B20" s="7">
        <v>6</v>
      </c>
      <c r="C20" s="7"/>
    </row>
    <row r="21" spans="1:9" x14ac:dyDescent="0.3">
      <c r="A21" s="7" t="s">
        <v>35</v>
      </c>
      <c r="B21" s="8">
        <v>6.9000000000000006E-2</v>
      </c>
      <c r="C21" s="7"/>
    </row>
    <row r="22" spans="1:9" x14ac:dyDescent="0.3">
      <c r="A22" s="7" t="s">
        <v>25</v>
      </c>
      <c r="B22" s="8">
        <v>0.13</v>
      </c>
      <c r="C22" s="7"/>
    </row>
    <row r="24" spans="1:9" x14ac:dyDescent="0.3">
      <c r="A24" s="14" t="s">
        <v>41</v>
      </c>
      <c r="B24" s="15" t="s">
        <v>20</v>
      </c>
      <c r="C24" s="15" t="s">
        <v>22</v>
      </c>
      <c r="D24" s="15" t="s">
        <v>23</v>
      </c>
      <c r="E24" s="15" t="s">
        <v>26</v>
      </c>
      <c r="F24" s="15" t="s">
        <v>27</v>
      </c>
    </row>
    <row r="25" spans="1:9" x14ac:dyDescent="0.3">
      <c r="A25">
        <v>0</v>
      </c>
      <c r="B25">
        <v>2021</v>
      </c>
      <c r="D25">
        <f>B19</f>
        <v>480000</v>
      </c>
      <c r="E25">
        <f>D25</f>
        <v>480000</v>
      </c>
      <c r="G25">
        <f>G36/(1+$B$22)^10</f>
        <v>3926816.1107910303</v>
      </c>
      <c r="H25">
        <f>G35</f>
        <v>3924127.2087319922</v>
      </c>
      <c r="I25" s="28">
        <f>SUM(G25:H25)</f>
        <v>7850943.3195230225</v>
      </c>
    </row>
    <row r="26" spans="1:9" x14ac:dyDescent="0.3">
      <c r="A26">
        <f>A25+1</f>
        <v>1</v>
      </c>
      <c r="B26">
        <f>B25+1</f>
        <v>2022</v>
      </c>
      <c r="C26" s="4">
        <v>0.1</v>
      </c>
      <c r="D26">
        <f>D25*(1+C26)</f>
        <v>528000</v>
      </c>
      <c r="E26">
        <f t="shared" ref="E26:E35" si="0">D26</f>
        <v>528000</v>
      </c>
      <c r="F26">
        <f>E26/(1+$B$22)^A26</f>
        <v>467256.63716814166</v>
      </c>
    </row>
    <row r="27" spans="1:9" x14ac:dyDescent="0.3">
      <c r="A27">
        <f t="shared" ref="A27:A29" si="1">A26+1</f>
        <v>2</v>
      </c>
      <c r="B27">
        <f t="shared" ref="B27:B29" si="2">B26+1</f>
        <v>2023</v>
      </c>
      <c r="C27" s="4">
        <v>0.1</v>
      </c>
      <c r="D27">
        <f t="shared" ref="D27:D35" si="3">D26*(1+C27)</f>
        <v>580800</v>
      </c>
      <c r="E27">
        <f t="shared" si="0"/>
        <v>580800</v>
      </c>
      <c r="F27">
        <f t="shared" ref="F27:F35" si="4">E27/(1+$B$22)^A27</f>
        <v>454851.59370350075</v>
      </c>
    </row>
    <row r="28" spans="1:9" x14ac:dyDescent="0.3">
      <c r="A28">
        <f t="shared" si="1"/>
        <v>3</v>
      </c>
      <c r="B28">
        <f t="shared" si="2"/>
        <v>2024</v>
      </c>
      <c r="C28" s="4">
        <v>0.1</v>
      </c>
      <c r="D28">
        <f t="shared" si="3"/>
        <v>638880</v>
      </c>
      <c r="E28">
        <f t="shared" si="0"/>
        <v>638880</v>
      </c>
      <c r="F28">
        <f t="shared" si="4"/>
        <v>442775.88767597429</v>
      </c>
    </row>
    <row r="29" spans="1:9" x14ac:dyDescent="0.3">
      <c r="A29">
        <f t="shared" si="1"/>
        <v>4</v>
      </c>
      <c r="B29">
        <f t="shared" si="2"/>
        <v>2025</v>
      </c>
      <c r="C29" s="4">
        <v>0.1</v>
      </c>
      <c r="D29">
        <f t="shared" si="3"/>
        <v>702768</v>
      </c>
      <c r="E29">
        <f t="shared" si="0"/>
        <v>702768</v>
      </c>
      <c r="F29">
        <f t="shared" si="4"/>
        <v>431020.77561378031</v>
      </c>
    </row>
    <row r="30" spans="1:9" x14ac:dyDescent="0.3">
      <c r="A30">
        <f t="shared" ref="A30:A34" si="5">A29+1</f>
        <v>5</v>
      </c>
      <c r="B30">
        <f t="shared" ref="B30:B34" si="6">B29+1</f>
        <v>2026</v>
      </c>
      <c r="C30" s="4">
        <v>7.0000000000000007E-2</v>
      </c>
      <c r="D30" s="27">
        <f t="shared" si="3"/>
        <v>751961.76</v>
      </c>
      <c r="E30">
        <f t="shared" si="0"/>
        <v>751961.76</v>
      </c>
      <c r="F30">
        <f t="shared" si="4"/>
        <v>408134.71673163271</v>
      </c>
    </row>
    <row r="31" spans="1:9" x14ac:dyDescent="0.3">
      <c r="A31">
        <f t="shared" si="5"/>
        <v>6</v>
      </c>
      <c r="B31">
        <f t="shared" si="6"/>
        <v>2027</v>
      </c>
      <c r="C31" s="4">
        <v>7.0000000000000007E-2</v>
      </c>
      <c r="D31" s="27">
        <f t="shared" si="3"/>
        <v>804599.08320000011</v>
      </c>
      <c r="E31">
        <f t="shared" si="0"/>
        <v>804599.08320000011</v>
      </c>
      <c r="F31">
        <f t="shared" si="4"/>
        <v>386463.84681667888</v>
      </c>
    </row>
    <row r="32" spans="1:9" x14ac:dyDescent="0.3">
      <c r="A32">
        <f t="shared" si="5"/>
        <v>7</v>
      </c>
      <c r="B32">
        <f t="shared" si="6"/>
        <v>2028</v>
      </c>
      <c r="C32" s="4">
        <v>7.0000000000000007E-2</v>
      </c>
      <c r="D32" s="27">
        <f t="shared" si="3"/>
        <v>860921.01902400015</v>
      </c>
      <c r="E32">
        <f t="shared" si="0"/>
        <v>860921.01902400015</v>
      </c>
      <c r="F32">
        <f t="shared" si="4"/>
        <v>365943.64256092609</v>
      </c>
    </row>
    <row r="33" spans="1:7" x14ac:dyDescent="0.3">
      <c r="A33">
        <f t="shared" si="5"/>
        <v>8</v>
      </c>
      <c r="B33">
        <f t="shared" si="6"/>
        <v>2029</v>
      </c>
      <c r="C33" s="4">
        <v>7.0000000000000007E-2</v>
      </c>
      <c r="D33" s="27">
        <f t="shared" si="3"/>
        <v>921185.49035568023</v>
      </c>
      <c r="E33">
        <f t="shared" si="0"/>
        <v>921185.49035568023</v>
      </c>
      <c r="F33">
        <f t="shared" si="4"/>
        <v>346513.00667273533</v>
      </c>
    </row>
    <row r="34" spans="1:7" x14ac:dyDescent="0.3">
      <c r="A34">
        <f t="shared" si="5"/>
        <v>9</v>
      </c>
      <c r="B34">
        <f t="shared" si="6"/>
        <v>2030</v>
      </c>
      <c r="C34" s="4">
        <v>0.05</v>
      </c>
      <c r="D34" s="27">
        <f t="shared" si="3"/>
        <v>967244.76487346424</v>
      </c>
      <c r="E34">
        <f t="shared" si="0"/>
        <v>967244.76487346424</v>
      </c>
      <c r="F34">
        <f t="shared" si="4"/>
        <v>321981.11239501962</v>
      </c>
    </row>
    <row r="35" spans="1:7" x14ac:dyDescent="0.3">
      <c r="A35">
        <f t="shared" ref="A35" si="7">A34+1</f>
        <v>10</v>
      </c>
      <c r="B35">
        <f t="shared" ref="B35" si="8">B34+1</f>
        <v>2031</v>
      </c>
      <c r="C35" s="4">
        <v>0.05</v>
      </c>
      <c r="D35" s="27">
        <f t="shared" si="3"/>
        <v>1015607.0031171375</v>
      </c>
      <c r="E35">
        <f t="shared" si="0"/>
        <v>1015607.0031171375</v>
      </c>
      <c r="F35">
        <f t="shared" si="4"/>
        <v>299185.98939360236</v>
      </c>
      <c r="G35">
        <f>SUM(F26:F35)</f>
        <v>3924127.2087319922</v>
      </c>
    </row>
    <row r="36" spans="1:7" x14ac:dyDescent="0.3">
      <c r="G36">
        <f>E35*(1+5%)/($B$22-5%)</f>
        <v>13329841.915912429</v>
      </c>
    </row>
    <row r="39" spans="1:7" x14ac:dyDescent="0.3">
      <c r="A39" s="17" t="s">
        <v>40</v>
      </c>
      <c r="B39" s="17" t="s">
        <v>30</v>
      </c>
      <c r="C39" s="17" t="s">
        <v>31</v>
      </c>
      <c r="D39" s="17" t="s">
        <v>32</v>
      </c>
    </row>
    <row r="40" spans="1:7" x14ac:dyDescent="0.3">
      <c r="A40" s="16" t="s">
        <v>28</v>
      </c>
      <c r="B40" s="16">
        <f>B42*B41</f>
        <v>9866666.6666666679</v>
      </c>
      <c r="C40" s="16">
        <f>1.2*10^7</f>
        <v>12000000</v>
      </c>
      <c r="D40" s="16">
        <v>9500000</v>
      </c>
    </row>
    <row r="41" spans="1:7" x14ac:dyDescent="0.3">
      <c r="A41" s="16" t="s">
        <v>29</v>
      </c>
      <c r="B41" s="16">
        <v>480000</v>
      </c>
      <c r="C41" s="16">
        <v>600000</v>
      </c>
      <c r="D41" s="16">
        <v>450000</v>
      </c>
    </row>
    <row r="42" spans="1:7" x14ac:dyDescent="0.3">
      <c r="A42" s="5" t="s">
        <v>33</v>
      </c>
      <c r="B42" s="5">
        <f>AVERAGE(C42:D42)</f>
        <v>20.555555555555557</v>
      </c>
      <c r="C42" s="5">
        <f>C40/C41</f>
        <v>20</v>
      </c>
      <c r="D42" s="5">
        <f>D40/D41</f>
        <v>21.111111111111111</v>
      </c>
    </row>
    <row r="44" spans="1:7" x14ac:dyDescent="0.3">
      <c r="B44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16FA-509B-4A72-A489-9FFE041DA918}">
  <dimension ref="A1:F18"/>
  <sheetViews>
    <sheetView tabSelected="1" topLeftCell="A34" zoomScale="170" zoomScaleNormal="170" workbookViewId="0">
      <selection activeCell="D3" sqref="D3"/>
    </sheetView>
  </sheetViews>
  <sheetFormatPr defaultRowHeight="14.4" x14ac:dyDescent="0.3"/>
  <cols>
    <col min="1" max="1" width="6.44140625" customWidth="1"/>
    <col min="2" max="2" width="14.21875" customWidth="1"/>
    <col min="3" max="3" width="14.44140625" customWidth="1"/>
  </cols>
  <sheetData>
    <row r="1" spans="1:6" ht="21.6" customHeight="1" x14ac:dyDescent="0.3">
      <c r="A1" s="18" t="s">
        <v>42</v>
      </c>
      <c r="B1" s="18"/>
    </row>
    <row r="2" spans="1:6" ht="11.4" customHeight="1" x14ac:dyDescent="0.3">
      <c r="A2" s="19"/>
      <c r="B2" s="20" t="s">
        <v>45</v>
      </c>
      <c r="C2" s="20" t="s">
        <v>46</v>
      </c>
      <c r="D2" s="20" t="s">
        <v>49</v>
      </c>
    </row>
    <row r="3" spans="1:6" x14ac:dyDescent="0.3">
      <c r="A3">
        <v>1</v>
      </c>
      <c r="B3" t="s">
        <v>43</v>
      </c>
      <c r="C3" t="s">
        <v>47</v>
      </c>
      <c r="D3" t="s">
        <v>50</v>
      </c>
    </row>
    <row r="4" spans="1:6" x14ac:dyDescent="0.3">
      <c r="A4">
        <v>2</v>
      </c>
      <c r="B4" t="s">
        <v>26</v>
      </c>
      <c r="C4" t="s">
        <v>47</v>
      </c>
      <c r="D4" t="s">
        <v>50</v>
      </c>
    </row>
    <row r="5" spans="1:6" x14ac:dyDescent="0.3">
      <c r="A5">
        <v>3</v>
      </c>
      <c r="B5" t="s">
        <v>24</v>
      </c>
      <c r="C5" t="s">
        <v>47</v>
      </c>
      <c r="D5" t="s">
        <v>50</v>
      </c>
    </row>
    <row r="7" spans="1:6" x14ac:dyDescent="0.3">
      <c r="A7" s="21" t="s">
        <v>44</v>
      </c>
      <c r="B7" s="21"/>
      <c r="C7" s="19"/>
      <c r="D7" s="19"/>
    </row>
    <row r="8" spans="1:6" x14ac:dyDescent="0.3">
      <c r="A8">
        <v>1</v>
      </c>
      <c r="B8" t="s">
        <v>33</v>
      </c>
      <c r="C8" t="s">
        <v>65</v>
      </c>
    </row>
    <row r="9" spans="1:6" x14ac:dyDescent="0.3">
      <c r="A9">
        <v>2</v>
      </c>
      <c r="B9" t="s">
        <v>51</v>
      </c>
      <c r="C9" t="s">
        <v>66</v>
      </c>
    </row>
    <row r="10" spans="1:6" x14ac:dyDescent="0.3">
      <c r="A10">
        <v>3</v>
      </c>
      <c r="B10" t="s">
        <v>52</v>
      </c>
      <c r="C10" t="s">
        <v>67</v>
      </c>
    </row>
    <row r="11" spans="1:6" x14ac:dyDescent="0.3">
      <c r="A11">
        <v>4</v>
      </c>
      <c r="B11" t="s">
        <v>53</v>
      </c>
      <c r="C11" t="s">
        <v>68</v>
      </c>
    </row>
    <row r="12" spans="1:6" x14ac:dyDescent="0.3">
      <c r="A12">
        <v>5</v>
      </c>
      <c r="B12" t="s">
        <v>54</v>
      </c>
      <c r="C12" t="s">
        <v>69</v>
      </c>
    </row>
    <row r="14" spans="1:6" x14ac:dyDescent="0.3">
      <c r="A14" s="9" t="s">
        <v>55</v>
      </c>
      <c r="B14" s="22"/>
      <c r="C14" s="22"/>
      <c r="D14" s="9" t="s">
        <v>60</v>
      </c>
      <c r="E14" s="22"/>
      <c r="F14" s="22"/>
    </row>
    <row r="15" spans="1:6" x14ac:dyDescent="0.3">
      <c r="A15">
        <v>1</v>
      </c>
      <c r="B15" t="s">
        <v>56</v>
      </c>
      <c r="D15" t="s">
        <v>61</v>
      </c>
    </row>
    <row r="16" spans="1:6" x14ac:dyDescent="0.3">
      <c r="A16">
        <v>2</v>
      </c>
      <c r="B16" t="s">
        <v>57</v>
      </c>
      <c r="D16" t="s">
        <v>62</v>
      </c>
    </row>
    <row r="17" spans="1:4" x14ac:dyDescent="0.3">
      <c r="A17">
        <v>3</v>
      </c>
      <c r="B17" t="s">
        <v>58</v>
      </c>
      <c r="D17" t="s">
        <v>63</v>
      </c>
    </row>
    <row r="18" spans="1:4" x14ac:dyDescent="0.3">
      <c r="A18">
        <f>A17+1</f>
        <v>4</v>
      </c>
      <c r="B18" t="s">
        <v>59</v>
      </c>
      <c r="D18" t="s">
        <v>64</v>
      </c>
    </row>
  </sheetData>
  <mergeCells count="2">
    <mergeCell ref="A7:B7"/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324C-DBD3-4B12-BC70-A34D58671359}">
  <dimension ref="A1:L187"/>
  <sheetViews>
    <sheetView topLeftCell="A37" zoomScale="170" zoomScaleNormal="170" workbookViewId="0">
      <selection activeCell="E50" sqref="E50"/>
    </sheetView>
  </sheetViews>
  <sheetFormatPr defaultRowHeight="14.4" x14ac:dyDescent="0.3"/>
  <cols>
    <col min="1" max="1" width="17.33203125" customWidth="1"/>
  </cols>
  <sheetData>
    <row r="1" spans="1:12" x14ac:dyDescent="0.3">
      <c r="A1" t="s">
        <v>88</v>
      </c>
    </row>
    <row r="2" spans="1:12" x14ac:dyDescent="0.3">
      <c r="A2" s="24" t="s">
        <v>48</v>
      </c>
      <c r="B2" s="25"/>
      <c r="J2" s="12" t="s">
        <v>20</v>
      </c>
      <c r="K2" s="12" t="s">
        <v>70</v>
      </c>
      <c r="L2" s="12" t="s">
        <v>27</v>
      </c>
    </row>
    <row r="3" spans="1:12" x14ac:dyDescent="0.3">
      <c r="A3" s="12" t="s">
        <v>84</v>
      </c>
      <c r="B3" s="12">
        <v>110</v>
      </c>
      <c r="J3" s="12">
        <v>0</v>
      </c>
      <c r="K3" s="12"/>
      <c r="L3" s="12"/>
    </row>
    <row r="4" spans="1:12" x14ac:dyDescent="0.3">
      <c r="A4" s="12" t="s">
        <v>25</v>
      </c>
      <c r="B4" s="23">
        <v>0.08</v>
      </c>
      <c r="J4" s="12">
        <f>J3+1</f>
        <v>1</v>
      </c>
      <c r="K4" s="12">
        <f>B5</f>
        <v>3</v>
      </c>
      <c r="L4" s="12"/>
    </row>
    <row r="5" spans="1:12" x14ac:dyDescent="0.3">
      <c r="A5" s="12" t="s">
        <v>85</v>
      </c>
      <c r="B5" s="12">
        <v>3</v>
      </c>
      <c r="J5" s="12">
        <f t="shared" ref="J5:J68" si="0">J4+1</f>
        <v>2</v>
      </c>
      <c r="K5" s="12">
        <f>K4*(1+$B$6)</f>
        <v>3.0749999999999997</v>
      </c>
      <c r="L5" s="12"/>
    </row>
    <row r="6" spans="1:12" x14ac:dyDescent="0.3">
      <c r="A6" s="12" t="s">
        <v>86</v>
      </c>
      <c r="B6" s="29">
        <v>2.5000000000000001E-2</v>
      </c>
      <c r="J6" s="12">
        <f t="shared" si="0"/>
        <v>3</v>
      </c>
      <c r="K6" s="12">
        <f t="shared" ref="K6:K69" si="1">K5*(1+$B$6)</f>
        <v>3.1518749999999995</v>
      </c>
      <c r="L6" s="12"/>
    </row>
    <row r="7" spans="1:12" x14ac:dyDescent="0.3">
      <c r="A7" s="12" t="s">
        <v>87</v>
      </c>
      <c r="B7" s="12"/>
      <c r="J7" s="12">
        <f t="shared" si="0"/>
        <v>4</v>
      </c>
      <c r="K7" s="12">
        <f t="shared" si="1"/>
        <v>3.2306718749999992</v>
      </c>
      <c r="L7" s="12"/>
    </row>
    <row r="8" spans="1:12" x14ac:dyDescent="0.3">
      <c r="J8" s="12">
        <f t="shared" si="0"/>
        <v>5</v>
      </c>
      <c r="K8" s="12">
        <f t="shared" si="1"/>
        <v>3.3114386718749991</v>
      </c>
      <c r="L8" s="12"/>
    </row>
    <row r="9" spans="1:12" x14ac:dyDescent="0.3">
      <c r="A9" s="17" t="s">
        <v>72</v>
      </c>
      <c r="B9" s="25"/>
      <c r="C9" s="25"/>
      <c r="D9" s="25"/>
      <c r="E9" s="25"/>
      <c r="F9" s="25"/>
      <c r="G9" s="26"/>
      <c r="J9" s="12">
        <f t="shared" si="0"/>
        <v>6</v>
      </c>
      <c r="K9" s="12">
        <f t="shared" si="1"/>
        <v>3.394224638671874</v>
      </c>
      <c r="L9" s="12"/>
    </row>
    <row r="10" spans="1:12" x14ac:dyDescent="0.3">
      <c r="A10" s="12" t="s">
        <v>20</v>
      </c>
      <c r="B10" s="12">
        <v>0</v>
      </c>
      <c r="C10" s="12">
        <v>1</v>
      </c>
      <c r="D10" s="12">
        <f>C10+1</f>
        <v>2</v>
      </c>
      <c r="E10" s="12">
        <f t="shared" ref="E10:G10" si="2">D10+1</f>
        <v>3</v>
      </c>
      <c r="F10" s="12">
        <f t="shared" si="2"/>
        <v>4</v>
      </c>
      <c r="G10" s="12">
        <f t="shared" si="2"/>
        <v>5</v>
      </c>
      <c r="J10" s="12">
        <f t="shared" si="0"/>
        <v>7</v>
      </c>
      <c r="K10" s="12">
        <f t="shared" si="1"/>
        <v>3.4790802546386703</v>
      </c>
      <c r="L10" s="12"/>
    </row>
    <row r="11" spans="1:12" x14ac:dyDescent="0.3">
      <c r="A11" s="12" t="s">
        <v>70</v>
      </c>
      <c r="B11" s="12"/>
      <c r="C11" s="12">
        <v>0.57999999999999996</v>
      </c>
      <c r="D11" s="12">
        <v>2.1</v>
      </c>
      <c r="E11" s="12">
        <v>2.2000000000000002</v>
      </c>
      <c r="F11" s="12">
        <v>3.5</v>
      </c>
      <c r="G11" s="12">
        <v>3.75</v>
      </c>
      <c r="J11" s="12">
        <f t="shared" si="0"/>
        <v>8</v>
      </c>
      <c r="K11" s="12">
        <f t="shared" si="1"/>
        <v>3.5660572610046368</v>
      </c>
      <c r="L11" s="12"/>
    </row>
    <row r="12" spans="1:12" x14ac:dyDescent="0.3">
      <c r="A12" s="12" t="s">
        <v>27</v>
      </c>
      <c r="B12" s="12"/>
      <c r="C12" s="12"/>
      <c r="D12" s="12"/>
      <c r="E12" s="12"/>
      <c r="F12" s="12"/>
      <c r="G12" s="12"/>
      <c r="J12" s="12">
        <f>J11+1</f>
        <v>9</v>
      </c>
      <c r="K12" s="12">
        <f>K11*(1+$B$6)</f>
        <v>3.6552086925297522</v>
      </c>
      <c r="L12" s="12"/>
    </row>
    <row r="13" spans="1:12" x14ac:dyDescent="0.3">
      <c r="A13" s="12" t="s">
        <v>75</v>
      </c>
      <c r="B13" s="12"/>
      <c r="C13" s="12"/>
      <c r="D13" s="12"/>
      <c r="E13" s="12"/>
      <c r="F13" s="12"/>
      <c r="G13" s="12"/>
      <c r="J13" s="12">
        <f>J12+1</f>
        <v>10</v>
      </c>
      <c r="K13" s="12">
        <f>K12*(1+$B$6)</f>
        <v>3.7465889098429956</v>
      </c>
      <c r="L13" s="12"/>
    </row>
    <row r="14" spans="1:12" x14ac:dyDescent="0.3">
      <c r="A14" s="12" t="s">
        <v>25</v>
      </c>
      <c r="B14" s="23">
        <f>B4</f>
        <v>0.08</v>
      </c>
      <c r="C14" s="23"/>
      <c r="D14" s="12"/>
      <c r="E14" s="12"/>
      <c r="F14" s="12"/>
      <c r="G14" s="12"/>
      <c r="J14" s="12">
        <f t="shared" si="0"/>
        <v>11</v>
      </c>
      <c r="K14" s="12">
        <f t="shared" si="1"/>
        <v>3.8402536325890702</v>
      </c>
      <c r="L14" s="12"/>
    </row>
    <row r="15" spans="1:12" x14ac:dyDescent="0.3">
      <c r="A15" s="12" t="s">
        <v>71</v>
      </c>
      <c r="B15" s="29">
        <f>B6</f>
        <v>2.5000000000000001E-2</v>
      </c>
      <c r="C15" s="12"/>
      <c r="D15" s="12"/>
      <c r="E15" s="12"/>
      <c r="F15" s="12"/>
      <c r="G15" s="12"/>
      <c r="J15" s="12">
        <f t="shared" si="0"/>
        <v>12</v>
      </c>
      <c r="K15" s="12">
        <f t="shared" si="1"/>
        <v>3.9362599734037964</v>
      </c>
      <c r="L15" s="12"/>
    </row>
    <row r="16" spans="1:12" x14ac:dyDescent="0.3">
      <c r="J16" s="12">
        <f t="shared" si="0"/>
        <v>13</v>
      </c>
      <c r="K16" s="12">
        <f t="shared" si="1"/>
        <v>4.0346664727388912</v>
      </c>
      <c r="L16" s="12"/>
    </row>
    <row r="17" spans="1:12" x14ac:dyDescent="0.3">
      <c r="J17" s="12">
        <f t="shared" si="0"/>
        <v>14</v>
      </c>
      <c r="K17" s="12">
        <f t="shared" si="1"/>
        <v>4.1355331345573632</v>
      </c>
      <c r="L17" s="12"/>
    </row>
    <row r="18" spans="1:12" x14ac:dyDescent="0.3">
      <c r="A18" s="25" t="s">
        <v>77</v>
      </c>
      <c r="B18" s="25">
        <v>0</v>
      </c>
      <c r="C18" s="25">
        <v>1</v>
      </c>
      <c r="D18" s="25">
        <f>C18+1</f>
        <v>2</v>
      </c>
      <c r="E18" s="25">
        <f t="shared" ref="E18:G18" si="3">D18+1</f>
        <v>3</v>
      </c>
      <c r="F18" s="25">
        <f t="shared" si="3"/>
        <v>4</v>
      </c>
      <c r="G18" s="25">
        <f t="shared" si="3"/>
        <v>5</v>
      </c>
      <c r="J18" s="12">
        <f t="shared" si="0"/>
        <v>15</v>
      </c>
      <c r="K18" s="12">
        <f t="shared" si="1"/>
        <v>4.2389214629212972</v>
      </c>
      <c r="L18" s="12"/>
    </row>
    <row r="19" spans="1:12" x14ac:dyDescent="0.3">
      <c r="A19" s="12" t="s">
        <v>73</v>
      </c>
      <c r="B19" s="12">
        <v>100</v>
      </c>
      <c r="C19" s="12">
        <f>B19*(1+C20)</f>
        <v>130</v>
      </c>
      <c r="D19" s="12">
        <f t="shared" ref="D19:G19" si="4">C19*(1+D20)</f>
        <v>156</v>
      </c>
      <c r="E19" s="12">
        <f t="shared" si="4"/>
        <v>187.2</v>
      </c>
      <c r="F19" s="12">
        <f t="shared" si="4"/>
        <v>215.27999999999997</v>
      </c>
      <c r="G19" s="12">
        <f t="shared" si="4"/>
        <v>247.57199999999995</v>
      </c>
      <c r="H19" s="30"/>
      <c r="J19" s="12">
        <f t="shared" si="0"/>
        <v>16</v>
      </c>
      <c r="K19" s="12">
        <f t="shared" si="1"/>
        <v>4.3448944994943295</v>
      </c>
      <c r="L19" s="12"/>
    </row>
    <row r="20" spans="1:12" x14ac:dyDescent="0.3">
      <c r="A20" s="12" t="s">
        <v>74</v>
      </c>
      <c r="B20" s="12"/>
      <c r="C20" s="23">
        <v>0.3</v>
      </c>
      <c r="D20" s="23">
        <v>0.2</v>
      </c>
      <c r="E20" s="23">
        <v>0.2</v>
      </c>
      <c r="F20" s="23">
        <v>0.15</v>
      </c>
      <c r="G20" s="23">
        <v>0.15</v>
      </c>
      <c r="J20" s="12">
        <f t="shared" si="0"/>
        <v>17</v>
      </c>
      <c r="K20" s="12">
        <f t="shared" si="1"/>
        <v>4.4535168619816874</v>
      </c>
      <c r="L20" s="12"/>
    </row>
    <row r="21" spans="1:12" x14ac:dyDescent="0.3">
      <c r="A21" s="12" t="s">
        <v>27</v>
      </c>
      <c r="B21" s="12"/>
      <c r="C21" s="12"/>
      <c r="D21" s="12"/>
      <c r="E21" s="12"/>
      <c r="F21" s="12"/>
      <c r="G21" s="12"/>
      <c r="J21" s="12">
        <f t="shared" si="0"/>
        <v>18</v>
      </c>
      <c r="K21" s="12">
        <f t="shared" si="1"/>
        <v>4.5648547835312288</v>
      </c>
      <c r="L21" s="12"/>
    </row>
    <row r="22" spans="1:12" x14ac:dyDescent="0.3">
      <c r="A22" s="12" t="s">
        <v>75</v>
      </c>
      <c r="B22" s="12">
        <f>SUM(C21:G21)</f>
        <v>0</v>
      </c>
      <c r="C22" s="12"/>
      <c r="D22" s="12"/>
      <c r="E22" s="12"/>
      <c r="F22" s="12"/>
      <c r="G22" s="12"/>
      <c r="J22" s="12">
        <f t="shared" si="0"/>
        <v>19</v>
      </c>
      <c r="K22" s="12">
        <f t="shared" si="1"/>
        <v>4.6789761531195087</v>
      </c>
      <c r="L22" s="12"/>
    </row>
    <row r="23" spans="1:12" x14ac:dyDescent="0.3">
      <c r="A23" s="12" t="s">
        <v>76</v>
      </c>
      <c r="B23" s="12">
        <v>1000</v>
      </c>
      <c r="C23" s="12"/>
      <c r="D23" s="12"/>
      <c r="E23" s="12"/>
      <c r="F23" s="12"/>
      <c r="G23" s="12"/>
      <c r="J23" s="12">
        <f t="shared" si="0"/>
        <v>20</v>
      </c>
      <c r="K23" s="12">
        <f t="shared" si="1"/>
        <v>4.7959505569474956</v>
      </c>
      <c r="L23" s="12"/>
    </row>
    <row r="24" spans="1:12" x14ac:dyDescent="0.3">
      <c r="A24" s="12" t="s">
        <v>2</v>
      </c>
      <c r="B24" s="12">
        <f>D22/B23</f>
        <v>0</v>
      </c>
      <c r="C24" s="12"/>
      <c r="D24" s="12"/>
      <c r="E24" s="12"/>
      <c r="F24" s="12"/>
      <c r="G24" s="12"/>
      <c r="J24" s="12">
        <f t="shared" si="0"/>
        <v>21</v>
      </c>
      <c r="K24" s="12">
        <f t="shared" si="1"/>
        <v>4.9158493208711826</v>
      </c>
      <c r="L24" s="12"/>
    </row>
    <row r="25" spans="1:12" x14ac:dyDescent="0.3">
      <c r="A25" s="12" t="s">
        <v>25</v>
      </c>
      <c r="B25" s="23">
        <f>B14</f>
        <v>0.08</v>
      </c>
      <c r="C25" s="23"/>
      <c r="D25" s="12"/>
      <c r="E25" s="12"/>
      <c r="F25" s="12"/>
      <c r="G25" s="12"/>
      <c r="J25" s="12">
        <f t="shared" si="0"/>
        <v>22</v>
      </c>
      <c r="K25" s="12">
        <f t="shared" si="1"/>
        <v>5.0387455538929622</v>
      </c>
      <c r="L25" s="12"/>
    </row>
    <row r="26" spans="1:12" x14ac:dyDescent="0.3">
      <c r="A26" s="12" t="s">
        <v>71</v>
      </c>
      <c r="B26" s="29">
        <f>B15</f>
        <v>2.5000000000000001E-2</v>
      </c>
      <c r="C26" s="12"/>
      <c r="D26" s="12"/>
      <c r="E26" s="12"/>
      <c r="F26" s="12"/>
      <c r="G26" s="12"/>
      <c r="J26" s="12">
        <f t="shared" si="0"/>
        <v>23</v>
      </c>
      <c r="K26" s="12">
        <f t="shared" si="1"/>
        <v>5.164714192740286</v>
      </c>
      <c r="L26" s="12"/>
    </row>
    <row r="27" spans="1:12" x14ac:dyDescent="0.3">
      <c r="J27" s="12">
        <f t="shared" si="0"/>
        <v>24</v>
      </c>
      <c r="K27" s="12">
        <f t="shared" si="1"/>
        <v>5.2938320475587926</v>
      </c>
      <c r="L27" s="12"/>
    </row>
    <row r="28" spans="1:12" x14ac:dyDescent="0.3">
      <c r="J28" s="12">
        <f t="shared" si="0"/>
        <v>25</v>
      </c>
      <c r="K28" s="12">
        <f t="shared" si="1"/>
        <v>5.4261778487477619</v>
      </c>
      <c r="L28" s="12"/>
    </row>
    <row r="29" spans="1:12" x14ac:dyDescent="0.3">
      <c r="A29" s="25" t="s">
        <v>78</v>
      </c>
      <c r="B29" s="25">
        <v>0</v>
      </c>
      <c r="C29" s="25">
        <v>1</v>
      </c>
      <c r="D29" s="25">
        <f>C29+1</f>
        <v>2</v>
      </c>
      <c r="E29" s="25">
        <f t="shared" ref="E29:G29" si="5">D29+1</f>
        <v>3</v>
      </c>
      <c r="F29" s="25">
        <f t="shared" si="5"/>
        <v>4</v>
      </c>
      <c r="G29" s="25">
        <f t="shared" si="5"/>
        <v>5</v>
      </c>
      <c r="J29" s="12">
        <f t="shared" si="0"/>
        <v>26</v>
      </c>
      <c r="K29" s="12">
        <f t="shared" si="1"/>
        <v>5.5618322949664556</v>
      </c>
      <c r="L29" s="12"/>
    </row>
    <row r="30" spans="1:12" x14ac:dyDescent="0.3">
      <c r="A30" s="12" t="s">
        <v>24</v>
      </c>
      <c r="B30" s="12">
        <v>200</v>
      </c>
      <c r="C30" s="12">
        <f>B30*(1+C31)</f>
        <v>260</v>
      </c>
      <c r="D30" s="12">
        <f t="shared" ref="D30:G30" si="6">C30*(1+D31)</f>
        <v>312</v>
      </c>
      <c r="E30" s="12">
        <f t="shared" si="6"/>
        <v>374.4</v>
      </c>
      <c r="F30" s="12">
        <f t="shared" si="6"/>
        <v>430.55999999999995</v>
      </c>
      <c r="G30" s="12">
        <f t="shared" si="6"/>
        <v>495.14399999999989</v>
      </c>
      <c r="H30" s="30"/>
      <c r="J30" s="12">
        <f t="shared" si="0"/>
        <v>27</v>
      </c>
      <c r="K30" s="12">
        <f t="shared" si="1"/>
        <v>5.7008781023406163</v>
      </c>
      <c r="L30" s="12"/>
    </row>
    <row r="31" spans="1:12" x14ac:dyDescent="0.3">
      <c r="A31" s="12" t="s">
        <v>74</v>
      </c>
      <c r="B31" s="12"/>
      <c r="C31" s="23">
        <v>0.3</v>
      </c>
      <c r="D31" s="23">
        <v>0.2</v>
      </c>
      <c r="E31" s="23">
        <v>0.2</v>
      </c>
      <c r="F31" s="23">
        <v>0.15</v>
      </c>
      <c r="G31" s="23">
        <v>0.15</v>
      </c>
      <c r="J31" s="12">
        <f t="shared" si="0"/>
        <v>28</v>
      </c>
      <c r="K31" s="12">
        <f t="shared" si="1"/>
        <v>5.8434000548991314</v>
      </c>
      <c r="L31" s="12"/>
    </row>
    <row r="32" spans="1:12" x14ac:dyDescent="0.3">
      <c r="A32" s="12" t="s">
        <v>27</v>
      </c>
      <c r="B32" s="12"/>
      <c r="C32" s="12"/>
      <c r="D32" s="12"/>
      <c r="E32" s="12"/>
      <c r="F32" s="12"/>
      <c r="G32" s="12"/>
      <c r="J32" s="12">
        <f t="shared" si="0"/>
        <v>29</v>
      </c>
      <c r="K32" s="12">
        <f t="shared" si="1"/>
        <v>5.9894850562716089</v>
      </c>
      <c r="L32" s="12"/>
    </row>
    <row r="33" spans="1:12" x14ac:dyDescent="0.3">
      <c r="A33" s="12" t="s">
        <v>79</v>
      </c>
      <c r="B33" s="12"/>
      <c r="C33" s="12"/>
      <c r="D33" s="12"/>
      <c r="E33" s="12"/>
      <c r="F33" s="12"/>
      <c r="G33" s="12"/>
      <c r="J33" s="12">
        <f t="shared" si="0"/>
        <v>30</v>
      </c>
      <c r="K33" s="12">
        <f t="shared" si="1"/>
        <v>6.1392221826783988</v>
      </c>
      <c r="L33" s="12"/>
    </row>
    <row r="34" spans="1:12" x14ac:dyDescent="0.3">
      <c r="A34" s="12" t="s">
        <v>80</v>
      </c>
      <c r="B34" s="12"/>
      <c r="C34" s="12"/>
      <c r="D34" s="12"/>
      <c r="E34" s="12"/>
      <c r="F34" s="12"/>
      <c r="G34" s="12"/>
      <c r="J34" s="12">
        <f t="shared" si="0"/>
        <v>31</v>
      </c>
      <c r="K34" s="12">
        <f t="shared" si="1"/>
        <v>6.2927027372453583</v>
      </c>
      <c r="L34" s="12"/>
    </row>
    <row r="35" spans="1:12" x14ac:dyDescent="0.3">
      <c r="A35" s="12" t="s">
        <v>81</v>
      </c>
      <c r="B35" s="12"/>
      <c r="C35" s="12"/>
      <c r="D35" s="12"/>
      <c r="E35" s="12"/>
      <c r="F35" s="12"/>
      <c r="G35" s="12"/>
      <c r="J35" s="12">
        <f t="shared" si="0"/>
        <v>32</v>
      </c>
      <c r="K35" s="12">
        <f t="shared" si="1"/>
        <v>6.4500203056764915</v>
      </c>
      <c r="L35" s="12"/>
    </row>
    <row r="36" spans="1:12" x14ac:dyDescent="0.3">
      <c r="A36" s="12" t="s">
        <v>82</v>
      </c>
      <c r="B36" s="12"/>
      <c r="C36" s="12"/>
      <c r="D36" s="12"/>
      <c r="E36" s="12"/>
      <c r="F36" s="12"/>
      <c r="G36" s="12"/>
      <c r="J36" s="12">
        <f t="shared" si="0"/>
        <v>33</v>
      </c>
      <c r="K36" s="12">
        <f t="shared" si="1"/>
        <v>6.6112708133184031</v>
      </c>
      <c r="L36" s="12"/>
    </row>
    <row r="37" spans="1:12" x14ac:dyDescent="0.3">
      <c r="A37" s="12" t="s">
        <v>83</v>
      </c>
      <c r="B37" s="12"/>
      <c r="C37" s="12"/>
      <c r="D37" s="12"/>
      <c r="E37" s="12"/>
      <c r="F37" s="12"/>
      <c r="G37" s="12"/>
      <c r="J37" s="12">
        <f t="shared" si="0"/>
        <v>34</v>
      </c>
      <c r="K37" s="12">
        <f t="shared" si="1"/>
        <v>6.7765525836513625</v>
      </c>
      <c r="L37" s="12"/>
    </row>
    <row r="38" spans="1:12" x14ac:dyDescent="0.3">
      <c r="A38" s="12" t="s">
        <v>76</v>
      </c>
      <c r="B38" s="12"/>
      <c r="C38" s="12"/>
      <c r="D38" s="12"/>
      <c r="E38" s="12"/>
      <c r="F38" s="12"/>
      <c r="G38" s="12"/>
      <c r="J38" s="12">
        <f t="shared" si="0"/>
        <v>35</v>
      </c>
      <c r="K38" s="12">
        <f t="shared" si="1"/>
        <v>6.9459663982426463</v>
      </c>
      <c r="L38" s="12"/>
    </row>
    <row r="39" spans="1:12" x14ac:dyDescent="0.3">
      <c r="A39" s="12" t="s">
        <v>2</v>
      </c>
      <c r="B39" s="12"/>
      <c r="C39" s="12"/>
      <c r="D39" s="12"/>
      <c r="E39" s="12"/>
      <c r="F39" s="12"/>
      <c r="G39" s="12"/>
      <c r="J39" s="12">
        <f t="shared" si="0"/>
        <v>36</v>
      </c>
      <c r="K39" s="12">
        <f t="shared" si="1"/>
        <v>7.1196155581987117</v>
      </c>
      <c r="L39" s="12"/>
    </row>
    <row r="40" spans="1:12" x14ac:dyDescent="0.3">
      <c r="A40" s="12" t="s">
        <v>21</v>
      </c>
      <c r="B40" s="23"/>
      <c r="C40" s="23"/>
      <c r="D40" s="12"/>
      <c r="E40" s="12"/>
      <c r="F40" s="12"/>
      <c r="G40" s="12"/>
      <c r="J40" s="12">
        <f t="shared" si="0"/>
        <v>37</v>
      </c>
      <c r="K40" s="12">
        <f t="shared" si="1"/>
        <v>7.2976059471536789</v>
      </c>
      <c r="L40" s="12"/>
    </row>
    <row r="41" spans="1:12" x14ac:dyDescent="0.3">
      <c r="A41" s="12" t="s">
        <v>71</v>
      </c>
      <c r="B41" s="29"/>
      <c r="C41" s="12"/>
      <c r="D41" s="12"/>
      <c r="E41" s="12"/>
      <c r="F41" s="12"/>
      <c r="G41" s="12"/>
      <c r="J41" s="12">
        <f t="shared" si="0"/>
        <v>38</v>
      </c>
      <c r="K41" s="12">
        <f t="shared" si="1"/>
        <v>7.4800460958325203</v>
      </c>
      <c r="L41" s="12"/>
    </row>
    <row r="42" spans="1:12" x14ac:dyDescent="0.3">
      <c r="J42" s="12">
        <f t="shared" si="0"/>
        <v>39</v>
      </c>
      <c r="K42" s="12">
        <f t="shared" si="1"/>
        <v>7.6670472482283323</v>
      </c>
      <c r="L42" s="12"/>
    </row>
    <row r="43" spans="1:12" x14ac:dyDescent="0.3">
      <c r="J43" s="12">
        <f t="shared" si="0"/>
        <v>40</v>
      </c>
      <c r="K43" s="12">
        <f t="shared" si="1"/>
        <v>7.8587234294340398</v>
      </c>
      <c r="L43" s="12"/>
    </row>
    <row r="44" spans="1:12" x14ac:dyDescent="0.3">
      <c r="J44" s="12">
        <f t="shared" si="0"/>
        <v>41</v>
      </c>
      <c r="K44" s="12">
        <f t="shared" si="1"/>
        <v>8.0551915151698896</v>
      </c>
      <c r="L44" s="12"/>
    </row>
    <row r="45" spans="1:12" x14ac:dyDescent="0.3">
      <c r="J45" s="12">
        <f t="shared" si="0"/>
        <v>42</v>
      </c>
      <c r="K45" s="12">
        <f t="shared" si="1"/>
        <v>8.256571303049137</v>
      </c>
      <c r="L45" s="12"/>
    </row>
    <row r="46" spans="1:12" x14ac:dyDescent="0.3">
      <c r="J46" s="12">
        <f t="shared" si="0"/>
        <v>43</v>
      </c>
      <c r="K46" s="12">
        <f t="shared" si="1"/>
        <v>8.4629855856253648</v>
      </c>
      <c r="L46" s="12"/>
    </row>
    <row r="47" spans="1:12" x14ac:dyDescent="0.3">
      <c r="J47" s="12">
        <f t="shared" si="0"/>
        <v>44</v>
      </c>
      <c r="K47" s="12">
        <f t="shared" si="1"/>
        <v>8.6745602252659975</v>
      </c>
      <c r="L47" s="12"/>
    </row>
    <row r="48" spans="1:12" x14ac:dyDescent="0.3">
      <c r="J48" s="12">
        <f t="shared" si="0"/>
        <v>45</v>
      </c>
      <c r="K48" s="12">
        <f t="shared" si="1"/>
        <v>8.8914242308976466</v>
      </c>
      <c r="L48" s="12"/>
    </row>
    <row r="49" spans="10:12" x14ac:dyDescent="0.3">
      <c r="J49" s="12">
        <f t="shared" si="0"/>
        <v>46</v>
      </c>
      <c r="K49" s="12">
        <f t="shared" si="1"/>
        <v>9.1137098366700862</v>
      </c>
      <c r="L49" s="12"/>
    </row>
    <row r="50" spans="10:12" x14ac:dyDescent="0.3">
      <c r="J50" s="12">
        <f t="shared" si="0"/>
        <v>47</v>
      </c>
      <c r="K50" s="12">
        <f t="shared" si="1"/>
        <v>9.3415525825868375</v>
      </c>
      <c r="L50" s="12"/>
    </row>
    <row r="51" spans="10:12" x14ac:dyDescent="0.3">
      <c r="J51" s="12">
        <f t="shared" si="0"/>
        <v>48</v>
      </c>
      <c r="K51" s="12">
        <f t="shared" si="1"/>
        <v>9.5750913971515068</v>
      </c>
      <c r="L51" s="12"/>
    </row>
    <row r="52" spans="10:12" x14ac:dyDescent="0.3">
      <c r="J52" s="12">
        <f t="shared" si="0"/>
        <v>49</v>
      </c>
      <c r="K52" s="12">
        <f t="shared" si="1"/>
        <v>9.8144686820802942</v>
      </c>
      <c r="L52" s="12"/>
    </row>
    <row r="53" spans="10:12" x14ac:dyDescent="0.3">
      <c r="J53" s="12">
        <f t="shared" si="0"/>
        <v>50</v>
      </c>
      <c r="K53" s="12">
        <f t="shared" si="1"/>
        <v>10.0598303991323</v>
      </c>
      <c r="L53" s="12"/>
    </row>
    <row r="54" spans="10:12" x14ac:dyDescent="0.3">
      <c r="J54" s="12">
        <f t="shared" si="0"/>
        <v>51</v>
      </c>
      <c r="K54" s="12">
        <f t="shared" si="1"/>
        <v>10.311326159110607</v>
      </c>
      <c r="L54" s="12"/>
    </row>
    <row r="55" spans="10:12" x14ac:dyDescent="0.3">
      <c r="J55" s="12">
        <f t="shared" si="0"/>
        <v>52</v>
      </c>
      <c r="K55" s="12">
        <f t="shared" si="1"/>
        <v>10.56910931308837</v>
      </c>
      <c r="L55" s="12"/>
    </row>
    <row r="56" spans="10:12" x14ac:dyDescent="0.3">
      <c r="J56" s="12">
        <f t="shared" si="0"/>
        <v>53</v>
      </c>
      <c r="K56" s="12">
        <f t="shared" si="1"/>
        <v>10.833337045915579</v>
      </c>
      <c r="L56" s="12"/>
    </row>
    <row r="57" spans="10:12" x14ac:dyDescent="0.3">
      <c r="J57" s="12">
        <f t="shared" si="0"/>
        <v>54</v>
      </c>
      <c r="K57" s="12">
        <f t="shared" si="1"/>
        <v>11.104170472063467</v>
      </c>
      <c r="L57" s="12"/>
    </row>
    <row r="58" spans="10:12" x14ac:dyDescent="0.3">
      <c r="J58" s="12">
        <f t="shared" si="0"/>
        <v>55</v>
      </c>
      <c r="K58" s="12">
        <f t="shared" si="1"/>
        <v>11.381774733865052</v>
      </c>
      <c r="L58" s="12"/>
    </row>
    <row r="59" spans="10:12" x14ac:dyDescent="0.3">
      <c r="J59" s="12">
        <f t="shared" si="0"/>
        <v>56</v>
      </c>
      <c r="K59" s="12">
        <f t="shared" si="1"/>
        <v>11.666319102211677</v>
      </c>
      <c r="L59" s="12"/>
    </row>
    <row r="60" spans="10:12" x14ac:dyDescent="0.3">
      <c r="J60" s="12">
        <f t="shared" si="0"/>
        <v>57</v>
      </c>
      <c r="K60" s="12">
        <f t="shared" si="1"/>
        <v>11.957977079766968</v>
      </c>
      <c r="L60" s="12"/>
    </row>
    <row r="61" spans="10:12" x14ac:dyDescent="0.3">
      <c r="J61" s="12">
        <f t="shared" si="0"/>
        <v>58</v>
      </c>
      <c r="K61" s="12">
        <f t="shared" si="1"/>
        <v>12.256926506761141</v>
      </c>
      <c r="L61" s="12"/>
    </row>
    <row r="62" spans="10:12" x14ac:dyDescent="0.3">
      <c r="J62" s="12">
        <f t="shared" si="0"/>
        <v>59</v>
      </c>
      <c r="K62" s="12">
        <f t="shared" si="1"/>
        <v>12.563349669430169</v>
      </c>
      <c r="L62" s="12"/>
    </row>
    <row r="63" spans="10:12" x14ac:dyDescent="0.3">
      <c r="J63" s="12">
        <f t="shared" si="0"/>
        <v>60</v>
      </c>
      <c r="K63" s="12">
        <f t="shared" si="1"/>
        <v>12.877433411165923</v>
      </c>
      <c r="L63" s="12"/>
    </row>
    <row r="64" spans="10:12" x14ac:dyDescent="0.3">
      <c r="J64" s="12">
        <f t="shared" si="0"/>
        <v>61</v>
      </c>
      <c r="K64" s="12">
        <f t="shared" si="1"/>
        <v>13.19936924644507</v>
      </c>
      <c r="L64" s="12"/>
    </row>
    <row r="65" spans="10:12" x14ac:dyDescent="0.3">
      <c r="J65" s="12">
        <f t="shared" si="0"/>
        <v>62</v>
      </c>
      <c r="K65" s="12">
        <f t="shared" si="1"/>
        <v>13.529353477606195</v>
      </c>
      <c r="L65" s="12"/>
    </row>
    <row r="66" spans="10:12" x14ac:dyDescent="0.3">
      <c r="J66" s="12">
        <f t="shared" si="0"/>
        <v>63</v>
      </c>
      <c r="K66" s="12">
        <f t="shared" si="1"/>
        <v>13.867587314546348</v>
      </c>
      <c r="L66" s="12"/>
    </row>
    <row r="67" spans="10:12" x14ac:dyDescent="0.3">
      <c r="J67" s="12">
        <f t="shared" si="0"/>
        <v>64</v>
      </c>
      <c r="K67" s="12">
        <f t="shared" si="1"/>
        <v>14.214276997410005</v>
      </c>
      <c r="L67" s="12"/>
    </row>
    <row r="68" spans="10:12" x14ac:dyDescent="0.3">
      <c r="J68" s="12">
        <f t="shared" si="0"/>
        <v>65</v>
      </c>
      <c r="K68" s="12">
        <f t="shared" si="1"/>
        <v>14.569633922345254</v>
      </c>
      <c r="L68" s="12"/>
    </row>
    <row r="69" spans="10:12" x14ac:dyDescent="0.3">
      <c r="J69" s="12">
        <f t="shared" ref="J69:J103" si="7">J68+1</f>
        <v>66</v>
      </c>
      <c r="K69" s="12">
        <f t="shared" si="1"/>
        <v>14.933874770403884</v>
      </c>
      <c r="L69" s="12"/>
    </row>
    <row r="70" spans="10:12" x14ac:dyDescent="0.3">
      <c r="J70" s="12">
        <f t="shared" si="7"/>
        <v>67</v>
      </c>
      <c r="K70" s="12">
        <f t="shared" ref="K70:K103" si="8">K69*(1+$B$6)</f>
        <v>15.307221639663981</v>
      </c>
      <c r="L70" s="12"/>
    </row>
    <row r="71" spans="10:12" x14ac:dyDescent="0.3">
      <c r="J71" s="12">
        <f t="shared" si="7"/>
        <v>68</v>
      </c>
      <c r="K71" s="12">
        <f t="shared" si="8"/>
        <v>15.689902180655579</v>
      </c>
      <c r="L71" s="12"/>
    </row>
    <row r="72" spans="10:12" x14ac:dyDescent="0.3">
      <c r="J72" s="12">
        <f t="shared" si="7"/>
        <v>69</v>
      </c>
      <c r="K72" s="12">
        <f t="shared" si="8"/>
        <v>16.082149735171967</v>
      </c>
      <c r="L72" s="12"/>
    </row>
    <row r="73" spans="10:12" x14ac:dyDescent="0.3">
      <c r="J73" s="12">
        <f t="shared" si="7"/>
        <v>70</v>
      </c>
      <c r="K73" s="12">
        <f t="shared" si="8"/>
        <v>16.484203478551265</v>
      </c>
      <c r="L73" s="12"/>
    </row>
    <row r="74" spans="10:12" x14ac:dyDescent="0.3">
      <c r="J74" s="12">
        <f t="shared" si="7"/>
        <v>71</v>
      </c>
      <c r="K74" s="12">
        <f t="shared" si="8"/>
        <v>16.896308565515046</v>
      </c>
      <c r="L74" s="12"/>
    </row>
    <row r="75" spans="10:12" x14ac:dyDescent="0.3">
      <c r="J75" s="12">
        <f t="shared" si="7"/>
        <v>72</v>
      </c>
      <c r="K75" s="12">
        <f t="shared" si="8"/>
        <v>17.318716279652921</v>
      </c>
      <c r="L75" s="12"/>
    </row>
    <row r="76" spans="10:12" x14ac:dyDescent="0.3">
      <c r="J76" s="12">
        <f t="shared" si="7"/>
        <v>73</v>
      </c>
      <c r="K76" s="12">
        <f t="shared" si="8"/>
        <v>17.751684186644244</v>
      </c>
      <c r="L76" s="12"/>
    </row>
    <row r="77" spans="10:12" x14ac:dyDescent="0.3">
      <c r="J77" s="12">
        <f t="shared" si="7"/>
        <v>74</v>
      </c>
      <c r="K77" s="12">
        <f t="shared" si="8"/>
        <v>18.195476291310349</v>
      </c>
      <c r="L77" s="12"/>
    </row>
    <row r="78" spans="10:12" x14ac:dyDescent="0.3">
      <c r="J78" s="12">
        <f t="shared" si="7"/>
        <v>75</v>
      </c>
      <c r="K78" s="12">
        <f t="shared" si="8"/>
        <v>18.650363198593105</v>
      </c>
      <c r="L78" s="12"/>
    </row>
    <row r="79" spans="10:12" x14ac:dyDescent="0.3">
      <c r="J79" s="12">
        <f t="shared" si="7"/>
        <v>76</v>
      </c>
      <c r="K79" s="12">
        <f t="shared" si="8"/>
        <v>19.11662227855793</v>
      </c>
      <c r="L79" s="12"/>
    </row>
    <row r="80" spans="10:12" x14ac:dyDescent="0.3">
      <c r="J80" s="12">
        <f t="shared" si="7"/>
        <v>77</v>
      </c>
      <c r="K80" s="12">
        <f t="shared" si="8"/>
        <v>19.594537835521876</v>
      </c>
      <c r="L80" s="12"/>
    </row>
    <row r="81" spans="10:12" x14ac:dyDescent="0.3">
      <c r="J81" s="12">
        <f t="shared" si="7"/>
        <v>78</v>
      </c>
      <c r="K81" s="12">
        <f t="shared" si="8"/>
        <v>20.084401281409921</v>
      </c>
      <c r="L81" s="12"/>
    </row>
    <row r="82" spans="10:12" x14ac:dyDescent="0.3">
      <c r="J82" s="12">
        <f t="shared" si="7"/>
        <v>79</v>
      </c>
      <c r="K82" s="12">
        <f t="shared" si="8"/>
        <v>20.586511313445168</v>
      </c>
      <c r="L82" s="12"/>
    </row>
    <row r="83" spans="10:12" x14ac:dyDescent="0.3">
      <c r="J83" s="12">
        <f t="shared" si="7"/>
        <v>80</v>
      </c>
      <c r="K83" s="12">
        <f t="shared" si="8"/>
        <v>21.101174096281294</v>
      </c>
      <c r="L83" s="12"/>
    </row>
    <row r="84" spans="10:12" x14ac:dyDescent="0.3">
      <c r="J84" s="12">
        <f t="shared" si="7"/>
        <v>81</v>
      </c>
      <c r="K84" s="12">
        <f t="shared" si="8"/>
        <v>21.628703448688324</v>
      </c>
      <c r="L84" s="12"/>
    </row>
    <row r="85" spans="10:12" x14ac:dyDescent="0.3">
      <c r="J85" s="12">
        <f t="shared" si="7"/>
        <v>82</v>
      </c>
      <c r="K85" s="12">
        <f t="shared" si="8"/>
        <v>22.169421034905529</v>
      </c>
      <c r="L85" s="12"/>
    </row>
    <row r="86" spans="10:12" x14ac:dyDescent="0.3">
      <c r="J86" s="12">
        <f t="shared" si="7"/>
        <v>83</v>
      </c>
      <c r="K86" s="12">
        <f t="shared" si="8"/>
        <v>22.723656560778164</v>
      </c>
      <c r="L86" s="12"/>
    </row>
    <row r="87" spans="10:12" x14ac:dyDescent="0.3">
      <c r="J87" s="12">
        <f t="shared" si="7"/>
        <v>84</v>
      </c>
      <c r="K87" s="12">
        <f t="shared" si="8"/>
        <v>23.291747974797616</v>
      </c>
      <c r="L87" s="12"/>
    </row>
    <row r="88" spans="10:12" x14ac:dyDescent="0.3">
      <c r="J88" s="12">
        <f t="shared" si="7"/>
        <v>85</v>
      </c>
      <c r="K88" s="12">
        <f t="shared" si="8"/>
        <v>23.874041674167554</v>
      </c>
      <c r="L88" s="12"/>
    </row>
    <row r="89" spans="10:12" x14ac:dyDescent="0.3">
      <c r="J89" s="12">
        <f t="shared" si="7"/>
        <v>86</v>
      </c>
      <c r="K89" s="12">
        <f t="shared" si="8"/>
        <v>24.470892716021741</v>
      </c>
      <c r="L89" s="12"/>
    </row>
    <row r="90" spans="10:12" x14ac:dyDescent="0.3">
      <c r="J90" s="12">
        <f t="shared" si="7"/>
        <v>87</v>
      </c>
      <c r="K90" s="12">
        <f t="shared" si="8"/>
        <v>25.082665033922282</v>
      </c>
      <c r="L90" s="12"/>
    </row>
    <row r="91" spans="10:12" x14ac:dyDescent="0.3">
      <c r="J91" s="12">
        <f t="shared" si="7"/>
        <v>88</v>
      </c>
      <c r="K91" s="12">
        <f t="shared" si="8"/>
        <v>25.709731659770338</v>
      </c>
      <c r="L91" s="12"/>
    </row>
    <row r="92" spans="10:12" x14ac:dyDescent="0.3">
      <c r="J92" s="12">
        <f t="shared" si="7"/>
        <v>89</v>
      </c>
      <c r="K92" s="12">
        <f t="shared" si="8"/>
        <v>26.352474951264593</v>
      </c>
      <c r="L92" s="12"/>
    </row>
    <row r="93" spans="10:12" x14ac:dyDescent="0.3">
      <c r="J93" s="12">
        <f t="shared" si="7"/>
        <v>90</v>
      </c>
      <c r="K93" s="12">
        <f t="shared" si="8"/>
        <v>27.011286825046206</v>
      </c>
      <c r="L93" s="12"/>
    </row>
    <row r="94" spans="10:12" x14ac:dyDescent="0.3">
      <c r="J94" s="12">
        <f t="shared" si="7"/>
        <v>91</v>
      </c>
      <c r="K94" s="12">
        <f t="shared" si="8"/>
        <v>27.68656899567236</v>
      </c>
      <c r="L94" s="12"/>
    </row>
    <row r="95" spans="10:12" x14ac:dyDescent="0.3">
      <c r="J95" s="12">
        <f t="shared" si="7"/>
        <v>92</v>
      </c>
      <c r="K95" s="12">
        <f t="shared" si="8"/>
        <v>28.378733220564168</v>
      </c>
      <c r="L95" s="12"/>
    </row>
    <row r="96" spans="10:12" x14ac:dyDescent="0.3">
      <c r="J96" s="12">
        <f t="shared" si="7"/>
        <v>93</v>
      </c>
      <c r="K96" s="12">
        <f t="shared" si="8"/>
        <v>29.088201551078271</v>
      </c>
      <c r="L96" s="12"/>
    </row>
    <row r="97" spans="10:12" x14ac:dyDescent="0.3">
      <c r="J97" s="12">
        <f t="shared" si="7"/>
        <v>94</v>
      </c>
      <c r="K97" s="12">
        <f t="shared" si="8"/>
        <v>29.815406589855225</v>
      </c>
      <c r="L97" s="12"/>
    </row>
    <row r="98" spans="10:12" x14ac:dyDescent="0.3">
      <c r="J98" s="12">
        <f t="shared" si="7"/>
        <v>95</v>
      </c>
      <c r="K98" s="12">
        <f t="shared" si="8"/>
        <v>30.560791754601603</v>
      </c>
      <c r="L98" s="12"/>
    </row>
    <row r="99" spans="10:12" x14ac:dyDescent="0.3">
      <c r="J99" s="12">
        <f t="shared" si="7"/>
        <v>96</v>
      </c>
      <c r="K99" s="12">
        <f t="shared" si="8"/>
        <v>31.324811548466641</v>
      </c>
      <c r="L99" s="12"/>
    </row>
    <row r="100" spans="10:12" x14ac:dyDescent="0.3">
      <c r="J100" s="12">
        <f t="shared" si="7"/>
        <v>97</v>
      </c>
      <c r="K100" s="12">
        <f t="shared" si="8"/>
        <v>32.107931837178306</v>
      </c>
      <c r="L100" s="12"/>
    </row>
    <row r="101" spans="10:12" x14ac:dyDescent="0.3">
      <c r="J101" s="12">
        <f t="shared" si="7"/>
        <v>98</v>
      </c>
      <c r="K101" s="12">
        <f t="shared" si="8"/>
        <v>32.910630133107759</v>
      </c>
      <c r="L101" s="12"/>
    </row>
    <row r="102" spans="10:12" x14ac:dyDescent="0.3">
      <c r="J102" s="12">
        <f t="shared" si="7"/>
        <v>99</v>
      </c>
      <c r="K102" s="12">
        <f t="shared" si="8"/>
        <v>33.733395886435453</v>
      </c>
      <c r="L102" s="12"/>
    </row>
    <row r="103" spans="10:12" x14ac:dyDescent="0.3">
      <c r="J103" s="12">
        <f t="shared" si="7"/>
        <v>100</v>
      </c>
      <c r="K103" s="12">
        <f t="shared" si="8"/>
        <v>34.576730783596339</v>
      </c>
      <c r="L103" s="12"/>
    </row>
    <row r="104" spans="10:12" x14ac:dyDescent="0.3">
      <c r="J104" s="12">
        <f t="shared" ref="J104:J118" si="9">J103+1</f>
        <v>101</v>
      </c>
      <c r="K104" s="12">
        <f t="shared" ref="K104:K118" si="10">K103*(1+$B$6)</f>
        <v>35.441149053186244</v>
      </c>
      <c r="L104" s="12"/>
    </row>
    <row r="105" spans="10:12" x14ac:dyDescent="0.3">
      <c r="J105" s="12">
        <f t="shared" si="9"/>
        <v>102</v>
      </c>
      <c r="K105" s="12">
        <f t="shared" si="10"/>
        <v>36.3271777795159</v>
      </c>
      <c r="L105" s="12"/>
    </row>
    <row r="106" spans="10:12" x14ac:dyDescent="0.3">
      <c r="J106" s="12">
        <f t="shared" si="9"/>
        <v>103</v>
      </c>
      <c r="K106" s="12">
        <f t="shared" si="10"/>
        <v>37.235357224003792</v>
      </c>
      <c r="L106" s="12"/>
    </row>
    <row r="107" spans="10:12" x14ac:dyDescent="0.3">
      <c r="J107" s="12">
        <f t="shared" si="9"/>
        <v>104</v>
      </c>
      <c r="K107" s="12">
        <f t="shared" si="10"/>
        <v>38.166241154603881</v>
      </c>
      <c r="L107" s="12"/>
    </row>
    <row r="108" spans="10:12" x14ac:dyDescent="0.3">
      <c r="J108" s="12">
        <f t="shared" si="9"/>
        <v>105</v>
      </c>
      <c r="K108" s="12">
        <f t="shared" si="10"/>
        <v>39.120397183468974</v>
      </c>
      <c r="L108" s="12"/>
    </row>
    <row r="109" spans="10:12" x14ac:dyDescent="0.3">
      <c r="J109" s="12">
        <f t="shared" si="9"/>
        <v>106</v>
      </c>
      <c r="K109" s="12">
        <f t="shared" si="10"/>
        <v>40.098407113055693</v>
      </c>
      <c r="L109" s="12"/>
    </row>
    <row r="110" spans="10:12" x14ac:dyDescent="0.3">
      <c r="J110" s="12">
        <f t="shared" si="9"/>
        <v>107</v>
      </c>
      <c r="K110" s="12">
        <f t="shared" si="10"/>
        <v>41.100867290882078</v>
      </c>
      <c r="L110" s="12"/>
    </row>
    <row r="111" spans="10:12" x14ac:dyDescent="0.3">
      <c r="J111" s="12">
        <f t="shared" si="9"/>
        <v>108</v>
      </c>
      <c r="K111" s="12">
        <f t="shared" si="10"/>
        <v>42.128388973154124</v>
      </c>
      <c r="L111" s="12"/>
    </row>
    <row r="112" spans="10:12" x14ac:dyDescent="0.3">
      <c r="J112" s="12">
        <f t="shared" si="9"/>
        <v>109</v>
      </c>
      <c r="K112" s="12">
        <f t="shared" si="10"/>
        <v>43.181598697482976</v>
      </c>
      <c r="L112" s="12"/>
    </row>
    <row r="113" spans="10:12" x14ac:dyDescent="0.3">
      <c r="J113" s="12">
        <f t="shared" si="9"/>
        <v>110</v>
      </c>
      <c r="K113" s="12">
        <f t="shared" si="10"/>
        <v>44.261138664920047</v>
      </c>
      <c r="L113" s="12"/>
    </row>
    <row r="114" spans="10:12" x14ac:dyDescent="0.3">
      <c r="J114" s="12">
        <f t="shared" si="9"/>
        <v>111</v>
      </c>
      <c r="K114" s="12">
        <f t="shared" si="10"/>
        <v>45.367667131543044</v>
      </c>
      <c r="L114" s="12"/>
    </row>
    <row r="115" spans="10:12" x14ac:dyDescent="0.3">
      <c r="J115" s="12">
        <f t="shared" si="9"/>
        <v>112</v>
      </c>
      <c r="K115" s="12">
        <f t="shared" si="10"/>
        <v>46.501858809831617</v>
      </c>
      <c r="L115" s="12"/>
    </row>
    <row r="116" spans="10:12" x14ac:dyDescent="0.3">
      <c r="J116" s="12">
        <f t="shared" si="9"/>
        <v>113</v>
      </c>
      <c r="K116" s="12">
        <f t="shared" si="10"/>
        <v>47.664405280077403</v>
      </c>
      <c r="L116" s="12"/>
    </row>
    <row r="117" spans="10:12" x14ac:dyDescent="0.3">
      <c r="J117" s="12">
        <f t="shared" si="9"/>
        <v>114</v>
      </c>
      <c r="K117" s="12">
        <f t="shared" si="10"/>
        <v>48.856015412079337</v>
      </c>
      <c r="L117" s="12"/>
    </row>
    <row r="118" spans="10:12" x14ac:dyDescent="0.3">
      <c r="J118" s="12">
        <f t="shared" si="9"/>
        <v>115</v>
      </c>
      <c r="K118" s="12">
        <f t="shared" si="10"/>
        <v>50.077415797381313</v>
      </c>
      <c r="L118" s="12"/>
    </row>
    <row r="119" spans="10:12" x14ac:dyDescent="0.3">
      <c r="J119" s="12">
        <f t="shared" ref="J119:J127" si="11">J118+1</f>
        <v>116</v>
      </c>
      <c r="K119" s="12">
        <f t="shared" ref="K119:K127" si="12">K118*(1+$B$6)</f>
        <v>51.329351192315841</v>
      </c>
      <c r="L119" s="12"/>
    </row>
    <row r="120" spans="10:12" x14ac:dyDescent="0.3">
      <c r="J120" s="12">
        <f t="shared" si="11"/>
        <v>117</v>
      </c>
      <c r="K120" s="12">
        <f t="shared" si="12"/>
        <v>52.612584972123734</v>
      </c>
      <c r="L120" s="12"/>
    </row>
    <row r="121" spans="10:12" x14ac:dyDescent="0.3">
      <c r="J121" s="12">
        <f t="shared" si="11"/>
        <v>118</v>
      </c>
      <c r="K121" s="12">
        <f t="shared" si="12"/>
        <v>53.927899596426826</v>
      </c>
      <c r="L121" s="12"/>
    </row>
    <row r="122" spans="10:12" x14ac:dyDescent="0.3">
      <c r="J122" s="12">
        <f t="shared" si="11"/>
        <v>119</v>
      </c>
      <c r="K122" s="12">
        <f t="shared" si="12"/>
        <v>55.276097086337494</v>
      </c>
      <c r="L122" s="12"/>
    </row>
    <row r="123" spans="10:12" x14ac:dyDescent="0.3">
      <c r="J123" s="12">
        <f t="shared" si="11"/>
        <v>120</v>
      </c>
      <c r="K123" s="12">
        <f t="shared" si="12"/>
        <v>56.657999513495923</v>
      </c>
      <c r="L123" s="12"/>
    </row>
    <row r="124" spans="10:12" x14ac:dyDescent="0.3">
      <c r="J124" s="12">
        <f t="shared" si="11"/>
        <v>121</v>
      </c>
      <c r="K124" s="12">
        <f t="shared" si="12"/>
        <v>58.074449501333319</v>
      </c>
      <c r="L124" s="12"/>
    </row>
    <row r="125" spans="10:12" x14ac:dyDescent="0.3">
      <c r="J125" s="12">
        <f t="shared" si="11"/>
        <v>122</v>
      </c>
      <c r="K125" s="12">
        <f t="shared" si="12"/>
        <v>59.526310738866648</v>
      </c>
      <c r="L125" s="12"/>
    </row>
    <row r="126" spans="10:12" x14ac:dyDescent="0.3">
      <c r="J126" s="12">
        <f t="shared" si="11"/>
        <v>123</v>
      </c>
      <c r="K126" s="12">
        <f t="shared" si="12"/>
        <v>61.014468507338307</v>
      </c>
      <c r="L126" s="12"/>
    </row>
    <row r="127" spans="10:12" x14ac:dyDescent="0.3">
      <c r="J127" s="12">
        <f t="shared" si="11"/>
        <v>124</v>
      </c>
      <c r="K127" s="12">
        <f t="shared" si="12"/>
        <v>62.539830220021763</v>
      </c>
      <c r="L127" s="12"/>
    </row>
    <row r="128" spans="10:12" x14ac:dyDescent="0.3">
      <c r="J128" s="12">
        <f t="shared" ref="J128:J138" si="13">J127+1</f>
        <v>125</v>
      </c>
      <c r="K128" s="12">
        <f t="shared" ref="K128:K138" si="14">K127*(1+$B$6)</f>
        <v>64.103325975522296</v>
      </c>
      <c r="L128" s="12"/>
    </row>
    <row r="129" spans="10:12" x14ac:dyDescent="0.3">
      <c r="J129" s="12">
        <f t="shared" si="13"/>
        <v>126</v>
      </c>
      <c r="K129" s="12">
        <f t="shared" si="14"/>
        <v>65.705909124910349</v>
      </c>
      <c r="L129" s="12"/>
    </row>
    <row r="130" spans="10:12" x14ac:dyDescent="0.3">
      <c r="J130" s="12">
        <f t="shared" si="13"/>
        <v>127</v>
      </c>
      <c r="K130" s="12">
        <f t="shared" si="14"/>
        <v>67.348556853033102</v>
      </c>
      <c r="L130" s="12"/>
    </row>
    <row r="131" spans="10:12" x14ac:dyDescent="0.3">
      <c r="J131" s="12">
        <f t="shared" si="13"/>
        <v>128</v>
      </c>
      <c r="K131" s="12">
        <f t="shared" si="14"/>
        <v>69.032270774358921</v>
      </c>
      <c r="L131" s="12"/>
    </row>
    <row r="132" spans="10:12" x14ac:dyDescent="0.3">
      <c r="J132" s="12">
        <f t="shared" si="13"/>
        <v>129</v>
      </c>
      <c r="K132" s="12">
        <f t="shared" si="14"/>
        <v>70.758077543717889</v>
      </c>
      <c r="L132" s="12"/>
    </row>
    <row r="133" spans="10:12" x14ac:dyDescent="0.3">
      <c r="J133" s="12">
        <f t="shared" si="13"/>
        <v>130</v>
      </c>
      <c r="K133" s="12">
        <f t="shared" si="14"/>
        <v>72.527029482310823</v>
      </c>
      <c r="L133" s="12"/>
    </row>
    <row r="134" spans="10:12" x14ac:dyDescent="0.3">
      <c r="J134" s="12">
        <f t="shared" si="13"/>
        <v>131</v>
      </c>
      <c r="K134" s="12">
        <f t="shared" si="14"/>
        <v>74.340205219368585</v>
      </c>
      <c r="L134" s="12"/>
    </row>
    <row r="135" spans="10:12" x14ac:dyDescent="0.3">
      <c r="J135" s="12">
        <f t="shared" si="13"/>
        <v>132</v>
      </c>
      <c r="K135" s="12">
        <f t="shared" si="14"/>
        <v>76.198710349852789</v>
      </c>
      <c r="L135" s="12"/>
    </row>
    <row r="136" spans="10:12" x14ac:dyDescent="0.3">
      <c r="J136" s="12">
        <f t="shared" si="13"/>
        <v>133</v>
      </c>
      <c r="K136" s="12">
        <f t="shared" si="14"/>
        <v>78.103678108599098</v>
      </c>
      <c r="L136" s="12"/>
    </row>
    <row r="137" spans="10:12" x14ac:dyDescent="0.3">
      <c r="J137" s="12">
        <f t="shared" si="13"/>
        <v>134</v>
      </c>
      <c r="K137" s="12">
        <f t="shared" si="14"/>
        <v>80.056270061314066</v>
      </c>
      <c r="L137" s="12"/>
    </row>
    <row r="138" spans="10:12" x14ac:dyDescent="0.3">
      <c r="J138" s="12">
        <f t="shared" si="13"/>
        <v>135</v>
      </c>
      <c r="K138" s="12">
        <f t="shared" si="14"/>
        <v>82.057676812846907</v>
      </c>
      <c r="L138" s="12"/>
    </row>
    <row r="139" spans="10:12" x14ac:dyDescent="0.3">
      <c r="J139" s="12">
        <f t="shared" ref="J139:J152" si="15">J138+1</f>
        <v>136</v>
      </c>
      <c r="K139" s="12">
        <f t="shared" ref="K139:K152" si="16">K138*(1+$B$6)</f>
        <v>84.109118733168074</v>
      </c>
      <c r="L139" s="12"/>
    </row>
    <row r="140" spans="10:12" x14ac:dyDescent="0.3">
      <c r="J140" s="12">
        <f t="shared" si="15"/>
        <v>137</v>
      </c>
      <c r="K140" s="12">
        <f t="shared" si="16"/>
        <v>86.211846701497265</v>
      </c>
      <c r="L140" s="12"/>
    </row>
    <row r="141" spans="10:12" x14ac:dyDescent="0.3">
      <c r="J141" s="12">
        <f t="shared" si="15"/>
        <v>138</v>
      </c>
      <c r="K141" s="12">
        <f t="shared" si="16"/>
        <v>88.367142869034694</v>
      </c>
      <c r="L141" s="12"/>
    </row>
    <row r="142" spans="10:12" x14ac:dyDescent="0.3">
      <c r="J142" s="12">
        <f t="shared" si="15"/>
        <v>139</v>
      </c>
      <c r="K142" s="12">
        <f t="shared" si="16"/>
        <v>90.576321440760552</v>
      </c>
      <c r="L142" s="12"/>
    </row>
    <row r="143" spans="10:12" x14ac:dyDescent="0.3">
      <c r="J143" s="12">
        <f t="shared" si="15"/>
        <v>140</v>
      </c>
      <c r="K143" s="12">
        <f t="shared" si="16"/>
        <v>92.840729476779558</v>
      </c>
      <c r="L143" s="12"/>
    </row>
    <row r="144" spans="10:12" x14ac:dyDescent="0.3">
      <c r="J144" s="12">
        <f t="shared" si="15"/>
        <v>141</v>
      </c>
      <c r="K144" s="12">
        <f t="shared" si="16"/>
        <v>95.161747713699043</v>
      </c>
      <c r="L144" s="12"/>
    </row>
    <row r="145" spans="10:12" x14ac:dyDescent="0.3">
      <c r="J145" s="12">
        <f t="shared" si="15"/>
        <v>142</v>
      </c>
      <c r="K145" s="12">
        <f t="shared" si="16"/>
        <v>97.540791406541516</v>
      </c>
      <c r="L145" s="12"/>
    </row>
    <row r="146" spans="10:12" x14ac:dyDescent="0.3">
      <c r="J146" s="12">
        <f t="shared" si="15"/>
        <v>143</v>
      </c>
      <c r="K146" s="12">
        <f t="shared" si="16"/>
        <v>99.979311191705051</v>
      </c>
      <c r="L146" s="12"/>
    </row>
    <row r="147" spans="10:12" x14ac:dyDescent="0.3">
      <c r="J147" s="12">
        <f t="shared" si="15"/>
        <v>144</v>
      </c>
      <c r="K147" s="12">
        <f t="shared" si="16"/>
        <v>102.47879397149767</v>
      </c>
      <c r="L147" s="12"/>
    </row>
    <row r="148" spans="10:12" x14ac:dyDescent="0.3">
      <c r="J148" s="12">
        <f t="shared" si="15"/>
        <v>145</v>
      </c>
      <c r="K148" s="12">
        <f t="shared" si="16"/>
        <v>105.0407638207851</v>
      </c>
      <c r="L148" s="12"/>
    </row>
    <row r="149" spans="10:12" x14ac:dyDescent="0.3">
      <c r="J149" s="12">
        <f t="shared" si="15"/>
        <v>146</v>
      </c>
      <c r="K149" s="12">
        <f t="shared" si="16"/>
        <v>107.66678291630473</v>
      </c>
      <c r="L149" s="12"/>
    </row>
    <row r="150" spans="10:12" x14ac:dyDescent="0.3">
      <c r="J150" s="12">
        <f t="shared" si="15"/>
        <v>147</v>
      </c>
      <c r="K150" s="12">
        <f t="shared" si="16"/>
        <v>110.35845248921234</v>
      </c>
      <c r="L150" s="12"/>
    </row>
    <row r="151" spans="10:12" x14ac:dyDescent="0.3">
      <c r="J151" s="12">
        <f t="shared" si="15"/>
        <v>148</v>
      </c>
      <c r="K151" s="12">
        <f t="shared" si="16"/>
        <v>113.11741380144264</v>
      </c>
      <c r="L151" s="12"/>
    </row>
    <row r="152" spans="10:12" x14ac:dyDescent="0.3">
      <c r="J152" s="12">
        <f t="shared" si="15"/>
        <v>149</v>
      </c>
      <c r="K152" s="12">
        <f t="shared" si="16"/>
        <v>115.94534914647869</v>
      </c>
      <c r="L152" s="12"/>
    </row>
    <row r="153" spans="10:12" x14ac:dyDescent="0.3">
      <c r="J153" s="12">
        <f t="shared" ref="J153:J163" si="17">J152+1</f>
        <v>150</v>
      </c>
      <c r="K153" s="12">
        <f t="shared" ref="K153:K163" si="18">K152*(1+$B$6)</f>
        <v>118.84398287514065</v>
      </c>
      <c r="L153" s="12"/>
    </row>
    <row r="154" spans="10:12" x14ac:dyDescent="0.3">
      <c r="J154" s="12">
        <f t="shared" si="17"/>
        <v>151</v>
      </c>
      <c r="K154" s="12">
        <f t="shared" si="18"/>
        <v>121.81508244701917</v>
      </c>
      <c r="L154" s="12"/>
    </row>
    <row r="155" spans="10:12" x14ac:dyDescent="0.3">
      <c r="J155" s="12">
        <f t="shared" si="17"/>
        <v>152</v>
      </c>
      <c r="K155" s="12">
        <f t="shared" si="18"/>
        <v>124.86045950819464</v>
      </c>
      <c r="L155" s="12"/>
    </row>
    <row r="156" spans="10:12" x14ac:dyDescent="0.3">
      <c r="J156" s="12">
        <f t="shared" si="17"/>
        <v>153</v>
      </c>
      <c r="K156" s="12">
        <f t="shared" si="18"/>
        <v>127.98197099589949</v>
      </c>
      <c r="L156" s="12"/>
    </row>
    <row r="157" spans="10:12" x14ac:dyDescent="0.3">
      <c r="J157" s="12">
        <f t="shared" si="17"/>
        <v>154</v>
      </c>
      <c r="K157" s="12">
        <f t="shared" si="18"/>
        <v>131.18152027079697</v>
      </c>
      <c r="L157" s="12"/>
    </row>
    <row r="158" spans="10:12" x14ac:dyDescent="0.3">
      <c r="J158" s="12">
        <f t="shared" si="17"/>
        <v>155</v>
      </c>
      <c r="K158" s="12">
        <f t="shared" si="18"/>
        <v>134.46105827756688</v>
      </c>
      <c r="L158" s="12"/>
    </row>
    <row r="159" spans="10:12" x14ac:dyDescent="0.3">
      <c r="J159" s="12">
        <f t="shared" si="17"/>
        <v>156</v>
      </c>
      <c r="K159" s="12">
        <f t="shared" si="18"/>
        <v>137.82258473450605</v>
      </c>
      <c r="L159" s="12"/>
    </row>
    <row r="160" spans="10:12" x14ac:dyDescent="0.3">
      <c r="J160" s="12">
        <f t="shared" si="17"/>
        <v>157</v>
      </c>
      <c r="K160" s="12">
        <f t="shared" si="18"/>
        <v>141.2681493528687</v>
      </c>
      <c r="L160" s="12"/>
    </row>
    <row r="161" spans="10:12" x14ac:dyDescent="0.3">
      <c r="J161" s="12">
        <f t="shared" si="17"/>
        <v>158</v>
      </c>
      <c r="K161" s="12">
        <f t="shared" si="18"/>
        <v>144.7998530866904</v>
      </c>
      <c r="L161" s="12"/>
    </row>
    <row r="162" spans="10:12" x14ac:dyDescent="0.3">
      <c r="J162" s="12">
        <f t="shared" si="17"/>
        <v>159</v>
      </c>
      <c r="K162" s="12">
        <f t="shared" si="18"/>
        <v>148.41984941385766</v>
      </c>
      <c r="L162" s="12"/>
    </row>
    <row r="163" spans="10:12" x14ac:dyDescent="0.3">
      <c r="J163" s="12">
        <f t="shared" si="17"/>
        <v>160</v>
      </c>
      <c r="K163" s="12">
        <f t="shared" si="18"/>
        <v>152.13034564920409</v>
      </c>
      <c r="L163" s="12"/>
    </row>
    <row r="164" spans="10:12" x14ac:dyDescent="0.3">
      <c r="J164" s="12">
        <f t="shared" ref="J164:J173" si="19">J163+1</f>
        <v>161</v>
      </c>
      <c r="K164" s="12">
        <f t="shared" ref="K164:K173" si="20">K163*(1+$B$6)</f>
        <v>155.93360429043418</v>
      </c>
      <c r="L164" s="12"/>
    </row>
    <row r="165" spans="10:12" x14ac:dyDescent="0.3">
      <c r="J165" s="12">
        <f t="shared" si="19"/>
        <v>162</v>
      </c>
      <c r="K165" s="12">
        <f t="shared" si="20"/>
        <v>159.83194439769503</v>
      </c>
      <c r="L165" s="12"/>
    </row>
    <row r="166" spans="10:12" x14ac:dyDescent="0.3">
      <c r="J166" s="12">
        <f t="shared" si="19"/>
        <v>163</v>
      </c>
      <c r="K166" s="12">
        <f t="shared" si="20"/>
        <v>163.82774300763739</v>
      </c>
      <c r="L166" s="12"/>
    </row>
    <row r="167" spans="10:12" x14ac:dyDescent="0.3">
      <c r="J167" s="12">
        <f t="shared" si="19"/>
        <v>164</v>
      </c>
      <c r="K167" s="12">
        <f t="shared" si="20"/>
        <v>167.92343658282832</v>
      </c>
      <c r="L167" s="12"/>
    </row>
    <row r="168" spans="10:12" x14ac:dyDescent="0.3">
      <c r="J168" s="12">
        <f t="shared" si="19"/>
        <v>165</v>
      </c>
      <c r="K168" s="12">
        <f t="shared" si="20"/>
        <v>172.12152249739901</v>
      </c>
      <c r="L168" s="12"/>
    </row>
    <row r="169" spans="10:12" x14ac:dyDescent="0.3">
      <c r="J169" s="12">
        <f t="shared" si="19"/>
        <v>166</v>
      </c>
      <c r="K169" s="12">
        <f t="shared" si="20"/>
        <v>176.42456055983396</v>
      </c>
      <c r="L169" s="12"/>
    </row>
    <row r="170" spans="10:12" x14ac:dyDescent="0.3">
      <c r="J170" s="12">
        <f t="shared" si="19"/>
        <v>167</v>
      </c>
      <c r="K170" s="12">
        <f t="shared" si="20"/>
        <v>180.83517457382979</v>
      </c>
      <c r="L170" s="12"/>
    </row>
    <row r="171" spans="10:12" x14ac:dyDescent="0.3">
      <c r="J171" s="12">
        <f t="shared" si="19"/>
        <v>168</v>
      </c>
      <c r="K171" s="12">
        <f t="shared" si="20"/>
        <v>185.35605393817551</v>
      </c>
      <c r="L171" s="12"/>
    </row>
    <row r="172" spans="10:12" x14ac:dyDescent="0.3">
      <c r="J172" s="12">
        <f t="shared" si="19"/>
        <v>169</v>
      </c>
      <c r="K172" s="12">
        <f t="shared" si="20"/>
        <v>189.98995528662988</v>
      </c>
      <c r="L172" s="12"/>
    </row>
    <row r="173" spans="10:12" x14ac:dyDescent="0.3">
      <c r="J173" s="12">
        <f t="shared" si="19"/>
        <v>170</v>
      </c>
      <c r="K173" s="12">
        <f t="shared" si="20"/>
        <v>194.73970416879561</v>
      </c>
      <c r="L173" s="12"/>
    </row>
    <row r="174" spans="10:12" x14ac:dyDescent="0.3">
      <c r="J174" s="12">
        <f t="shared" ref="J174:J184" si="21">J173+1</f>
        <v>171</v>
      </c>
      <c r="K174" s="12">
        <f t="shared" ref="K174:K184" si="22">K173*(1+$B$6)</f>
        <v>199.60819677301549</v>
      </c>
      <c r="L174" s="12"/>
    </row>
    <row r="175" spans="10:12" x14ac:dyDescent="0.3">
      <c r="J175" s="12">
        <f t="shared" si="21"/>
        <v>172</v>
      </c>
      <c r="K175" s="12">
        <f t="shared" si="22"/>
        <v>204.59840169234087</v>
      </c>
      <c r="L175" s="12"/>
    </row>
    <row r="176" spans="10:12" x14ac:dyDescent="0.3">
      <c r="J176" s="12">
        <f t="shared" si="21"/>
        <v>173</v>
      </c>
      <c r="K176" s="12">
        <f t="shared" si="22"/>
        <v>209.71336173464937</v>
      </c>
      <c r="L176" s="12"/>
    </row>
    <row r="177" spans="10:12" x14ac:dyDescent="0.3">
      <c r="J177" s="12">
        <f t="shared" si="21"/>
        <v>174</v>
      </c>
      <c r="K177" s="12">
        <f t="shared" si="22"/>
        <v>214.95619577801557</v>
      </c>
      <c r="L177" s="12"/>
    </row>
    <row r="178" spans="10:12" x14ac:dyDescent="0.3">
      <c r="J178" s="12">
        <f t="shared" si="21"/>
        <v>175</v>
      </c>
      <c r="K178" s="12">
        <f t="shared" si="22"/>
        <v>220.33010067246593</v>
      </c>
      <c r="L178" s="12"/>
    </row>
    <row r="179" spans="10:12" x14ac:dyDescent="0.3">
      <c r="J179" s="12">
        <f t="shared" si="21"/>
        <v>176</v>
      </c>
      <c r="K179" s="12">
        <f t="shared" si="22"/>
        <v>225.83835318927757</v>
      </c>
      <c r="L179" s="12"/>
    </row>
    <row r="180" spans="10:12" x14ac:dyDescent="0.3">
      <c r="J180" s="12">
        <f t="shared" si="21"/>
        <v>177</v>
      </c>
      <c r="K180" s="12">
        <f t="shared" si="22"/>
        <v>231.48431201900948</v>
      </c>
      <c r="L180" s="12"/>
    </row>
    <row r="181" spans="10:12" x14ac:dyDescent="0.3">
      <c r="J181" s="12">
        <f t="shared" si="21"/>
        <v>178</v>
      </c>
      <c r="K181" s="12">
        <f t="shared" si="22"/>
        <v>237.27141981948469</v>
      </c>
      <c r="L181" s="12"/>
    </row>
    <row r="182" spans="10:12" x14ac:dyDescent="0.3">
      <c r="J182" s="12">
        <f t="shared" si="21"/>
        <v>179</v>
      </c>
      <c r="K182" s="12">
        <f t="shared" si="22"/>
        <v>243.2032053149718</v>
      </c>
      <c r="L182" s="12"/>
    </row>
    <row r="183" spans="10:12" x14ac:dyDescent="0.3">
      <c r="J183" s="12">
        <f t="shared" si="21"/>
        <v>180</v>
      </c>
      <c r="K183" s="12">
        <f t="shared" si="22"/>
        <v>249.28328544784608</v>
      </c>
      <c r="L183" s="12"/>
    </row>
    <row r="184" spans="10:12" x14ac:dyDescent="0.3">
      <c r="J184" s="12">
        <f t="shared" si="21"/>
        <v>181</v>
      </c>
      <c r="K184" s="12">
        <f t="shared" si="22"/>
        <v>255.51536758404222</v>
      </c>
      <c r="L184" s="12"/>
    </row>
    <row r="185" spans="10:12" x14ac:dyDescent="0.3">
      <c r="J185" s="12">
        <f t="shared" ref="J185:J187" si="23">J184+1</f>
        <v>182</v>
      </c>
      <c r="K185" s="12">
        <f t="shared" ref="K185:K187" si="24">K184*(1+$B$6)</f>
        <v>261.90325177364326</v>
      </c>
      <c r="L185" s="12"/>
    </row>
    <row r="186" spans="10:12" x14ac:dyDescent="0.3">
      <c r="J186" s="12">
        <f t="shared" si="23"/>
        <v>183</v>
      </c>
      <c r="K186" s="12">
        <f t="shared" si="24"/>
        <v>268.45083306798432</v>
      </c>
      <c r="L186" s="12"/>
    </row>
    <row r="187" spans="10:12" x14ac:dyDescent="0.3">
      <c r="J187" s="12">
        <f t="shared" si="23"/>
        <v>184</v>
      </c>
      <c r="K187" s="12">
        <f t="shared" si="24"/>
        <v>275.16210389468392</v>
      </c>
      <c r="L187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Basic Concepts</vt:lpstr>
      <vt:lpstr>Types of Valuation</vt:lpstr>
      <vt:lpstr>PV Valuation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aravindan</dc:creator>
  <cp:lastModifiedBy>allen aravindan</cp:lastModifiedBy>
  <dcterms:created xsi:type="dcterms:W3CDTF">2015-06-05T18:17:20Z</dcterms:created>
  <dcterms:modified xsi:type="dcterms:W3CDTF">2021-05-20T15:09:02Z</dcterms:modified>
</cp:coreProperties>
</file>